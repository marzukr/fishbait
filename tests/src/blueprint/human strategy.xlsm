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9B65ADA7-377D-244E-BB82-2DEFC8B390C4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probs avg" sheetId="9" r:id="rId1"/>
    <sheet name="regrets 6 probs" sheetId="7" r:id="rId2"/>
    <sheet name="regrets 6" sheetId="5" r:id="rId3"/>
    <sheet name="regrets 4 probs" sheetId="8" r:id="rId4"/>
    <sheet name="regrets 4" sheetId="1" r:id="rId5"/>
    <sheet name="action counts 6" sheetId="6" r:id="rId6"/>
    <sheet name="action counts 4" sheetId="2" r:id="rId7"/>
    <sheet name="sequence table" sheetId="3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4" i="9" l="1"/>
  <c r="Q104" i="9"/>
  <c r="R103" i="9"/>
  <c r="Q103" i="9"/>
  <c r="R102" i="9"/>
  <c r="Q102" i="9"/>
  <c r="S101" i="9"/>
  <c r="R101" i="9"/>
  <c r="R100" i="9"/>
  <c r="Q100" i="9"/>
  <c r="R99" i="9"/>
  <c r="Q99" i="9"/>
  <c r="R98" i="9"/>
  <c r="Q98" i="9"/>
  <c r="S97" i="9"/>
  <c r="R97" i="9"/>
  <c r="R96" i="9"/>
  <c r="Q96" i="9"/>
  <c r="R95" i="9"/>
  <c r="Q95" i="9"/>
  <c r="R94" i="9"/>
  <c r="Q94" i="9"/>
  <c r="S93" i="9"/>
  <c r="R93" i="9"/>
  <c r="R92" i="9"/>
  <c r="Q92" i="9"/>
  <c r="S91" i="9"/>
  <c r="R91" i="9"/>
  <c r="R90" i="9"/>
  <c r="Q90" i="9"/>
  <c r="S89" i="9"/>
  <c r="R89" i="9"/>
  <c r="R88" i="9"/>
  <c r="Q88" i="9"/>
  <c r="S87" i="9"/>
  <c r="R87" i="9"/>
  <c r="R86" i="9"/>
  <c r="Q86" i="9"/>
  <c r="S85" i="9"/>
  <c r="R85" i="9"/>
  <c r="R84" i="9"/>
  <c r="Q84" i="9"/>
  <c r="S83" i="9"/>
  <c r="R83" i="9"/>
  <c r="R82" i="9"/>
  <c r="Q82" i="9"/>
  <c r="S81" i="9"/>
  <c r="R81" i="9"/>
  <c r="R80" i="9"/>
  <c r="Q80" i="9"/>
  <c r="S79" i="9"/>
  <c r="R79" i="9"/>
  <c r="R78" i="9"/>
  <c r="Q78" i="9"/>
  <c r="S77" i="9"/>
  <c r="R77" i="9"/>
  <c r="R76" i="9"/>
  <c r="Q76" i="9"/>
  <c r="S75" i="9"/>
  <c r="R75" i="9"/>
  <c r="R74" i="9"/>
  <c r="Q74" i="9"/>
  <c r="S73" i="9"/>
  <c r="R73" i="9"/>
  <c r="R72" i="9"/>
  <c r="Q72" i="9"/>
  <c r="S71" i="9"/>
  <c r="R71" i="9"/>
  <c r="R70" i="9"/>
  <c r="Q70" i="9"/>
  <c r="S69" i="9"/>
  <c r="R69" i="9"/>
  <c r="M104" i="9"/>
  <c r="L104" i="9"/>
  <c r="M103" i="9"/>
  <c r="L103" i="9"/>
  <c r="M102" i="9"/>
  <c r="L102" i="9"/>
  <c r="N101" i="9"/>
  <c r="M101" i="9"/>
  <c r="M100" i="9"/>
  <c r="L100" i="9"/>
  <c r="M99" i="9"/>
  <c r="L99" i="9"/>
  <c r="M98" i="9"/>
  <c r="L98" i="9"/>
  <c r="N97" i="9"/>
  <c r="M97" i="9"/>
  <c r="M96" i="9"/>
  <c r="L96" i="9"/>
  <c r="M95" i="9"/>
  <c r="L95" i="9"/>
  <c r="M94" i="9"/>
  <c r="L94" i="9"/>
  <c r="N93" i="9"/>
  <c r="M93" i="9"/>
  <c r="M92" i="9"/>
  <c r="L92" i="9"/>
  <c r="N91" i="9"/>
  <c r="M91" i="9"/>
  <c r="M90" i="9"/>
  <c r="L90" i="9"/>
  <c r="N89" i="9"/>
  <c r="M89" i="9"/>
  <c r="M88" i="9"/>
  <c r="L88" i="9"/>
  <c r="N87" i="9"/>
  <c r="M87" i="9"/>
  <c r="M86" i="9"/>
  <c r="L86" i="9"/>
  <c r="N85" i="9"/>
  <c r="M85" i="9"/>
  <c r="M84" i="9"/>
  <c r="L84" i="9"/>
  <c r="N83" i="9"/>
  <c r="M83" i="9"/>
  <c r="M82" i="9"/>
  <c r="L82" i="9"/>
  <c r="N81" i="9"/>
  <c r="M81" i="9"/>
  <c r="M80" i="9"/>
  <c r="L80" i="9"/>
  <c r="N79" i="9"/>
  <c r="M79" i="9"/>
  <c r="M78" i="9"/>
  <c r="L78" i="9"/>
  <c r="N77" i="9"/>
  <c r="M77" i="9"/>
  <c r="M76" i="9"/>
  <c r="L76" i="9"/>
  <c r="N75" i="9"/>
  <c r="M75" i="9"/>
  <c r="M74" i="9"/>
  <c r="L74" i="9"/>
  <c r="N73" i="9"/>
  <c r="M73" i="9"/>
  <c r="M72" i="9"/>
  <c r="L72" i="9"/>
  <c r="N71" i="9"/>
  <c r="M71" i="9"/>
  <c r="M70" i="9"/>
  <c r="L70" i="9"/>
  <c r="N69" i="9"/>
  <c r="M69" i="9"/>
  <c r="H104" i="9"/>
  <c r="G104" i="9"/>
  <c r="H103" i="9"/>
  <c r="G103" i="9"/>
  <c r="H102" i="9"/>
  <c r="G102" i="9"/>
  <c r="I101" i="9"/>
  <c r="H101" i="9"/>
  <c r="H100" i="9"/>
  <c r="G100" i="9"/>
  <c r="H99" i="9"/>
  <c r="G99" i="9"/>
  <c r="H98" i="9"/>
  <c r="G98" i="9"/>
  <c r="I97" i="9"/>
  <c r="H97" i="9"/>
  <c r="H96" i="9"/>
  <c r="G96" i="9"/>
  <c r="H95" i="9"/>
  <c r="G95" i="9"/>
  <c r="H94" i="9"/>
  <c r="G94" i="9"/>
  <c r="I93" i="9"/>
  <c r="H93" i="9"/>
  <c r="H92" i="9"/>
  <c r="G92" i="9"/>
  <c r="I91" i="9"/>
  <c r="H91" i="9"/>
  <c r="H90" i="9"/>
  <c r="G90" i="9"/>
  <c r="I89" i="9"/>
  <c r="H89" i="9"/>
  <c r="H88" i="9"/>
  <c r="G88" i="9"/>
  <c r="I87" i="9"/>
  <c r="H87" i="9"/>
  <c r="H86" i="9"/>
  <c r="G86" i="9"/>
  <c r="I85" i="9"/>
  <c r="H85" i="9"/>
  <c r="H84" i="9"/>
  <c r="G84" i="9"/>
  <c r="I83" i="9"/>
  <c r="H83" i="9"/>
  <c r="H82" i="9"/>
  <c r="G82" i="9"/>
  <c r="I81" i="9"/>
  <c r="H81" i="9"/>
  <c r="H80" i="9"/>
  <c r="G80" i="9"/>
  <c r="I79" i="9"/>
  <c r="H79" i="9"/>
  <c r="H78" i="9"/>
  <c r="G78" i="9"/>
  <c r="I77" i="9"/>
  <c r="H77" i="9"/>
  <c r="H76" i="9"/>
  <c r="G76" i="9"/>
  <c r="I75" i="9"/>
  <c r="H75" i="9"/>
  <c r="H74" i="9"/>
  <c r="G74" i="9"/>
  <c r="I73" i="9"/>
  <c r="H73" i="9"/>
  <c r="H72" i="9"/>
  <c r="G72" i="9"/>
  <c r="I71" i="9"/>
  <c r="H71" i="9"/>
  <c r="H70" i="9"/>
  <c r="G70" i="9"/>
  <c r="I69" i="9"/>
  <c r="H69" i="9"/>
  <c r="C104" i="9"/>
  <c r="B104" i="9"/>
  <c r="C103" i="9"/>
  <c r="B103" i="9"/>
  <c r="C102" i="9"/>
  <c r="B102" i="9"/>
  <c r="D101" i="9"/>
  <c r="C101" i="9"/>
  <c r="C100" i="9"/>
  <c r="B100" i="9"/>
  <c r="C99" i="9"/>
  <c r="B99" i="9"/>
  <c r="C98" i="9"/>
  <c r="B98" i="9"/>
  <c r="D97" i="9"/>
  <c r="C97" i="9"/>
  <c r="C96" i="9"/>
  <c r="B96" i="9"/>
  <c r="C95" i="9"/>
  <c r="B95" i="9"/>
  <c r="C94" i="9"/>
  <c r="B94" i="9"/>
  <c r="D93" i="9"/>
  <c r="C93" i="9"/>
  <c r="C92" i="9"/>
  <c r="B92" i="9"/>
  <c r="D91" i="9"/>
  <c r="C91" i="9"/>
  <c r="C90" i="9"/>
  <c r="B90" i="9"/>
  <c r="D89" i="9"/>
  <c r="C89" i="9"/>
  <c r="C88" i="9"/>
  <c r="B88" i="9"/>
  <c r="D87" i="9"/>
  <c r="C87" i="9"/>
  <c r="C86" i="9"/>
  <c r="B86" i="9"/>
  <c r="D85" i="9"/>
  <c r="C85" i="9"/>
  <c r="C84" i="9"/>
  <c r="B84" i="9"/>
  <c r="D83" i="9"/>
  <c r="C83" i="9"/>
  <c r="C82" i="9"/>
  <c r="B82" i="9"/>
  <c r="D81" i="9"/>
  <c r="C81" i="9"/>
  <c r="C80" i="9"/>
  <c r="B80" i="9"/>
  <c r="D79" i="9"/>
  <c r="C79" i="9"/>
  <c r="C78" i="9"/>
  <c r="B78" i="9"/>
  <c r="D77" i="9"/>
  <c r="C77" i="9"/>
  <c r="C76" i="9"/>
  <c r="B76" i="9"/>
  <c r="D75" i="9"/>
  <c r="C75" i="9"/>
  <c r="C74" i="9"/>
  <c r="B74" i="9"/>
  <c r="D73" i="9"/>
  <c r="C73" i="9"/>
  <c r="C72" i="9"/>
  <c r="B72" i="9"/>
  <c r="D71" i="9"/>
  <c r="C71" i="9"/>
  <c r="C70" i="9"/>
  <c r="B70" i="9"/>
  <c r="D69" i="9"/>
  <c r="C69" i="9"/>
  <c r="R68" i="9"/>
  <c r="Q68" i="9"/>
  <c r="R67" i="9"/>
  <c r="Q67" i="9"/>
  <c r="R66" i="9"/>
  <c r="Q66" i="9"/>
  <c r="S65" i="9"/>
  <c r="R65" i="9"/>
  <c r="R64" i="9"/>
  <c r="Q64" i="9"/>
  <c r="R63" i="9"/>
  <c r="Q63" i="9"/>
  <c r="R62" i="9"/>
  <c r="Q62" i="9"/>
  <c r="S61" i="9"/>
  <c r="R61" i="9"/>
  <c r="R60" i="9"/>
  <c r="Q60" i="9"/>
  <c r="R59" i="9"/>
  <c r="Q59" i="9"/>
  <c r="R58" i="9"/>
  <c r="Q58" i="9"/>
  <c r="S57" i="9"/>
  <c r="R57" i="9"/>
  <c r="R56" i="9"/>
  <c r="Q56" i="9"/>
  <c r="S55" i="9"/>
  <c r="R55" i="9"/>
  <c r="Q55" i="9"/>
  <c r="R54" i="9"/>
  <c r="Q54" i="9"/>
  <c r="S53" i="9"/>
  <c r="R53" i="9"/>
  <c r="Q53" i="9"/>
  <c r="R52" i="9"/>
  <c r="Q52" i="9"/>
  <c r="T51" i="9"/>
  <c r="S51" i="9"/>
  <c r="R51" i="9"/>
  <c r="R50" i="9"/>
  <c r="Q50" i="9"/>
  <c r="T49" i="9"/>
  <c r="S49" i="9"/>
  <c r="R49" i="9"/>
  <c r="R48" i="9"/>
  <c r="Q48" i="9"/>
  <c r="S47" i="9"/>
  <c r="R47" i="9"/>
  <c r="Q47" i="9"/>
  <c r="R46" i="9"/>
  <c r="Q46" i="9"/>
  <c r="S45" i="9"/>
  <c r="R45" i="9"/>
  <c r="Q45" i="9"/>
  <c r="R44" i="9"/>
  <c r="Q44" i="9"/>
  <c r="T43" i="9"/>
  <c r="S43" i="9"/>
  <c r="R43" i="9"/>
  <c r="R42" i="9"/>
  <c r="Q42" i="9"/>
  <c r="T41" i="9"/>
  <c r="S41" i="9"/>
  <c r="R41" i="9"/>
  <c r="M68" i="9"/>
  <c r="L68" i="9"/>
  <c r="M67" i="9"/>
  <c r="L67" i="9"/>
  <c r="M66" i="9"/>
  <c r="L66" i="9"/>
  <c r="N65" i="9"/>
  <c r="M65" i="9"/>
  <c r="M64" i="9"/>
  <c r="L64" i="9"/>
  <c r="M63" i="9"/>
  <c r="L63" i="9"/>
  <c r="M62" i="9"/>
  <c r="L62" i="9"/>
  <c r="N61" i="9"/>
  <c r="M61" i="9"/>
  <c r="M60" i="9"/>
  <c r="L60" i="9"/>
  <c r="M59" i="9"/>
  <c r="L59" i="9"/>
  <c r="M58" i="9"/>
  <c r="L58" i="9"/>
  <c r="N57" i="9"/>
  <c r="M57" i="9"/>
  <c r="M56" i="9"/>
  <c r="L56" i="9"/>
  <c r="N55" i="9"/>
  <c r="M55" i="9"/>
  <c r="L55" i="9"/>
  <c r="M54" i="9"/>
  <c r="L54" i="9"/>
  <c r="N53" i="9"/>
  <c r="M53" i="9"/>
  <c r="L53" i="9"/>
  <c r="M52" i="9"/>
  <c r="L52" i="9"/>
  <c r="O51" i="9"/>
  <c r="N51" i="9"/>
  <c r="M51" i="9"/>
  <c r="M50" i="9"/>
  <c r="L50" i="9"/>
  <c r="O49" i="9"/>
  <c r="N49" i="9"/>
  <c r="M49" i="9"/>
  <c r="M48" i="9"/>
  <c r="L48" i="9"/>
  <c r="N47" i="9"/>
  <c r="M47" i="9"/>
  <c r="L47" i="9"/>
  <c r="M46" i="9"/>
  <c r="L46" i="9"/>
  <c r="N45" i="9"/>
  <c r="M45" i="9"/>
  <c r="L45" i="9"/>
  <c r="M44" i="9"/>
  <c r="L44" i="9"/>
  <c r="O43" i="9"/>
  <c r="N43" i="9"/>
  <c r="M43" i="9"/>
  <c r="M42" i="9"/>
  <c r="L42" i="9"/>
  <c r="O41" i="9"/>
  <c r="N41" i="9"/>
  <c r="M41" i="9"/>
  <c r="H68" i="9"/>
  <c r="G68" i="9"/>
  <c r="H67" i="9"/>
  <c r="G67" i="9"/>
  <c r="H66" i="9"/>
  <c r="G66" i="9"/>
  <c r="I65" i="9"/>
  <c r="H65" i="9"/>
  <c r="H64" i="9"/>
  <c r="G64" i="9"/>
  <c r="H63" i="9"/>
  <c r="G63" i="9"/>
  <c r="H62" i="9"/>
  <c r="G62" i="9"/>
  <c r="I61" i="9"/>
  <c r="H61" i="9"/>
  <c r="H60" i="9"/>
  <c r="G60" i="9"/>
  <c r="H59" i="9"/>
  <c r="G59" i="9"/>
  <c r="H58" i="9"/>
  <c r="G58" i="9"/>
  <c r="I57" i="9"/>
  <c r="H57" i="9"/>
  <c r="H56" i="9"/>
  <c r="G56" i="9"/>
  <c r="I55" i="9"/>
  <c r="H55" i="9"/>
  <c r="G55" i="9"/>
  <c r="H54" i="9"/>
  <c r="G54" i="9"/>
  <c r="I53" i="9"/>
  <c r="H53" i="9"/>
  <c r="G53" i="9"/>
  <c r="H52" i="9"/>
  <c r="G52" i="9"/>
  <c r="J51" i="9"/>
  <c r="I51" i="9"/>
  <c r="H51" i="9"/>
  <c r="H50" i="9"/>
  <c r="G50" i="9"/>
  <c r="J49" i="9"/>
  <c r="I49" i="9"/>
  <c r="H49" i="9"/>
  <c r="H48" i="9"/>
  <c r="G48" i="9"/>
  <c r="I47" i="9"/>
  <c r="H47" i="9"/>
  <c r="G47" i="9"/>
  <c r="H46" i="9"/>
  <c r="G46" i="9"/>
  <c r="I45" i="9"/>
  <c r="H45" i="9"/>
  <c r="G45" i="9"/>
  <c r="H44" i="9"/>
  <c r="G44" i="9"/>
  <c r="J43" i="9"/>
  <c r="I43" i="9"/>
  <c r="H43" i="9"/>
  <c r="H42" i="9"/>
  <c r="G42" i="9"/>
  <c r="J41" i="9"/>
  <c r="I41" i="9"/>
  <c r="H41" i="9"/>
  <c r="C68" i="9"/>
  <c r="B68" i="9"/>
  <c r="C67" i="9"/>
  <c r="B67" i="9"/>
  <c r="C66" i="9"/>
  <c r="B66" i="9"/>
  <c r="D65" i="9"/>
  <c r="C65" i="9"/>
  <c r="C64" i="9"/>
  <c r="B64" i="9"/>
  <c r="C63" i="9"/>
  <c r="B63" i="9"/>
  <c r="C62" i="9"/>
  <c r="B62" i="9"/>
  <c r="D61" i="9"/>
  <c r="C61" i="9"/>
  <c r="C60" i="9"/>
  <c r="B60" i="9"/>
  <c r="C59" i="9"/>
  <c r="B59" i="9"/>
  <c r="C58" i="9"/>
  <c r="B58" i="9"/>
  <c r="D57" i="9"/>
  <c r="C57" i="9"/>
  <c r="C56" i="9"/>
  <c r="B56" i="9"/>
  <c r="D55" i="9"/>
  <c r="C55" i="9"/>
  <c r="B55" i="9"/>
  <c r="C54" i="9"/>
  <c r="B54" i="9"/>
  <c r="D53" i="9"/>
  <c r="C53" i="9"/>
  <c r="B53" i="9"/>
  <c r="C52" i="9"/>
  <c r="B52" i="9"/>
  <c r="E51" i="9"/>
  <c r="D51" i="9"/>
  <c r="C51" i="9"/>
  <c r="C50" i="9"/>
  <c r="B50" i="9"/>
  <c r="E49" i="9"/>
  <c r="D49" i="9"/>
  <c r="C49" i="9"/>
  <c r="C48" i="9"/>
  <c r="B48" i="9"/>
  <c r="D47" i="9"/>
  <c r="C47" i="9"/>
  <c r="B47" i="9"/>
  <c r="C46" i="9"/>
  <c r="B46" i="9"/>
  <c r="D45" i="9"/>
  <c r="C45" i="9"/>
  <c r="B45" i="9"/>
  <c r="C44" i="9"/>
  <c r="B44" i="9"/>
  <c r="E43" i="9"/>
  <c r="D43" i="9"/>
  <c r="C43" i="9"/>
  <c r="C42" i="9"/>
  <c r="B42" i="9"/>
  <c r="E41" i="9"/>
  <c r="D41" i="9"/>
  <c r="C41" i="9"/>
  <c r="R40" i="9"/>
  <c r="Q40" i="9"/>
  <c r="R39" i="9"/>
  <c r="Q39" i="9"/>
  <c r="R38" i="9"/>
  <c r="Q38" i="9"/>
  <c r="S37" i="9"/>
  <c r="R37" i="9"/>
  <c r="R36" i="9"/>
  <c r="Q36" i="9"/>
  <c r="R35" i="9"/>
  <c r="Q35" i="9"/>
  <c r="R34" i="9"/>
  <c r="Q34" i="9"/>
  <c r="S33" i="9"/>
  <c r="R33" i="9"/>
  <c r="R32" i="9"/>
  <c r="Q32" i="9"/>
  <c r="R31" i="9"/>
  <c r="Q31" i="9"/>
  <c r="R30" i="9"/>
  <c r="Q30" i="9"/>
  <c r="S29" i="9"/>
  <c r="R29" i="9"/>
  <c r="R28" i="9"/>
  <c r="Q28" i="9"/>
  <c r="S27" i="9"/>
  <c r="R27" i="9"/>
  <c r="R26" i="9"/>
  <c r="Q26" i="9"/>
  <c r="S25" i="9"/>
  <c r="R25" i="9"/>
  <c r="R24" i="9"/>
  <c r="Q24" i="9"/>
  <c r="S23" i="9"/>
  <c r="R23" i="9"/>
  <c r="R22" i="9"/>
  <c r="Q22" i="9"/>
  <c r="S21" i="9"/>
  <c r="R21" i="9"/>
  <c r="M40" i="9"/>
  <c r="L40" i="9"/>
  <c r="M39" i="9"/>
  <c r="L39" i="9"/>
  <c r="M38" i="9"/>
  <c r="L38" i="9"/>
  <c r="N37" i="9"/>
  <c r="M37" i="9"/>
  <c r="M36" i="9"/>
  <c r="L36" i="9"/>
  <c r="M35" i="9"/>
  <c r="L35" i="9"/>
  <c r="M34" i="9"/>
  <c r="L34" i="9"/>
  <c r="N33" i="9"/>
  <c r="M33" i="9"/>
  <c r="M32" i="9"/>
  <c r="L32" i="9"/>
  <c r="M31" i="9"/>
  <c r="L31" i="9"/>
  <c r="M30" i="9"/>
  <c r="L30" i="9"/>
  <c r="N29" i="9"/>
  <c r="M29" i="9"/>
  <c r="M28" i="9"/>
  <c r="L28" i="9"/>
  <c r="N27" i="9"/>
  <c r="M27" i="9"/>
  <c r="M26" i="9"/>
  <c r="L26" i="9"/>
  <c r="N25" i="9"/>
  <c r="M25" i="9"/>
  <c r="M24" i="9"/>
  <c r="L24" i="9"/>
  <c r="N23" i="9"/>
  <c r="M23" i="9"/>
  <c r="M22" i="9"/>
  <c r="L22" i="9"/>
  <c r="N21" i="9"/>
  <c r="M21" i="9"/>
  <c r="H40" i="9"/>
  <c r="G40" i="9"/>
  <c r="H39" i="9"/>
  <c r="G39" i="9"/>
  <c r="H38" i="9"/>
  <c r="G38" i="9"/>
  <c r="I37" i="9"/>
  <c r="H37" i="9"/>
  <c r="H36" i="9"/>
  <c r="G36" i="9"/>
  <c r="H35" i="9"/>
  <c r="G35" i="9"/>
  <c r="H34" i="9"/>
  <c r="G34" i="9"/>
  <c r="I33" i="9"/>
  <c r="H33" i="9"/>
  <c r="H32" i="9"/>
  <c r="G32" i="9"/>
  <c r="H31" i="9"/>
  <c r="G31" i="9"/>
  <c r="H30" i="9"/>
  <c r="G30" i="9"/>
  <c r="I29" i="9"/>
  <c r="H29" i="9"/>
  <c r="H28" i="9"/>
  <c r="G28" i="9"/>
  <c r="I27" i="9"/>
  <c r="H27" i="9"/>
  <c r="H26" i="9"/>
  <c r="G26" i="9"/>
  <c r="I25" i="9"/>
  <c r="H25" i="9"/>
  <c r="H24" i="9"/>
  <c r="G24" i="9"/>
  <c r="I23" i="9"/>
  <c r="H23" i="9"/>
  <c r="H22" i="9"/>
  <c r="G22" i="9"/>
  <c r="I21" i="9"/>
  <c r="H21" i="9"/>
  <c r="C40" i="9"/>
  <c r="B40" i="9"/>
  <c r="C39" i="9"/>
  <c r="B39" i="9"/>
  <c r="C38" i="9"/>
  <c r="B38" i="9"/>
  <c r="D37" i="9"/>
  <c r="C37" i="9"/>
  <c r="C36" i="9"/>
  <c r="B36" i="9"/>
  <c r="C35" i="9"/>
  <c r="B35" i="9"/>
  <c r="C34" i="9"/>
  <c r="B34" i="9"/>
  <c r="D33" i="9"/>
  <c r="C33" i="9"/>
  <c r="C32" i="9"/>
  <c r="B32" i="9"/>
  <c r="C31" i="9"/>
  <c r="B31" i="9"/>
  <c r="C30" i="9"/>
  <c r="B30" i="9"/>
  <c r="D29" i="9"/>
  <c r="C29" i="9"/>
  <c r="C28" i="9"/>
  <c r="B28" i="9"/>
  <c r="D27" i="9"/>
  <c r="C27" i="9"/>
  <c r="C26" i="9"/>
  <c r="B26" i="9"/>
  <c r="D25" i="9"/>
  <c r="C25" i="9"/>
  <c r="C24" i="9"/>
  <c r="B24" i="9"/>
  <c r="D23" i="9"/>
  <c r="C23" i="9"/>
  <c r="C22" i="9"/>
  <c r="B22" i="9"/>
  <c r="D21" i="9"/>
  <c r="C21" i="9"/>
  <c r="R20" i="9"/>
  <c r="Q20" i="9"/>
  <c r="R19" i="9"/>
  <c r="Q19" i="9"/>
  <c r="R18" i="9"/>
  <c r="Q18" i="9"/>
  <c r="S17" i="9"/>
  <c r="R17" i="9"/>
  <c r="R16" i="9"/>
  <c r="Q16" i="9"/>
  <c r="R15" i="9"/>
  <c r="Q15" i="9"/>
  <c r="R14" i="9"/>
  <c r="Q14" i="9"/>
  <c r="R13" i="9"/>
  <c r="Q13" i="9"/>
  <c r="S12" i="9"/>
  <c r="R12" i="9"/>
  <c r="S11" i="9"/>
  <c r="R11" i="9"/>
  <c r="Q11" i="9"/>
  <c r="R10" i="9"/>
  <c r="Q10" i="9"/>
  <c r="R9" i="9"/>
  <c r="Q9" i="9"/>
  <c r="R8" i="9"/>
  <c r="Q8" i="9"/>
  <c r="R7" i="9"/>
  <c r="Q7" i="9"/>
  <c r="S6" i="9"/>
  <c r="R6" i="9"/>
  <c r="R5" i="9"/>
  <c r="Q5" i="9"/>
  <c r="S4" i="9"/>
  <c r="R4" i="9"/>
  <c r="Q4" i="9"/>
  <c r="S3" i="9"/>
  <c r="R3" i="9"/>
  <c r="Q3" i="9"/>
  <c r="M20" i="9"/>
  <c r="L20" i="9"/>
  <c r="M19" i="9"/>
  <c r="L19" i="9"/>
  <c r="M18" i="9"/>
  <c r="L18" i="9"/>
  <c r="N17" i="9"/>
  <c r="M17" i="9"/>
  <c r="M16" i="9"/>
  <c r="L16" i="9"/>
  <c r="M15" i="9"/>
  <c r="L15" i="9"/>
  <c r="M14" i="9"/>
  <c r="L14" i="9"/>
  <c r="M13" i="9"/>
  <c r="L13" i="9"/>
  <c r="N12" i="9"/>
  <c r="M12" i="9"/>
  <c r="N11" i="9"/>
  <c r="M11" i="9"/>
  <c r="L11" i="9"/>
  <c r="M10" i="9"/>
  <c r="L10" i="9"/>
  <c r="M9" i="9"/>
  <c r="L9" i="9"/>
  <c r="M8" i="9"/>
  <c r="L8" i="9"/>
  <c r="M7" i="9"/>
  <c r="L7" i="9"/>
  <c r="N6" i="9"/>
  <c r="M6" i="9"/>
  <c r="M5" i="9"/>
  <c r="L5" i="9"/>
  <c r="N4" i="9"/>
  <c r="M4" i="9"/>
  <c r="L4" i="9"/>
  <c r="N3" i="9"/>
  <c r="M3" i="9"/>
  <c r="L3" i="9"/>
  <c r="H20" i="9"/>
  <c r="G20" i="9"/>
  <c r="H19" i="9"/>
  <c r="G19" i="9"/>
  <c r="H18" i="9"/>
  <c r="G18" i="9"/>
  <c r="I17" i="9"/>
  <c r="H17" i="9"/>
  <c r="H16" i="9"/>
  <c r="G16" i="9"/>
  <c r="H15" i="9"/>
  <c r="G15" i="9"/>
  <c r="H14" i="9"/>
  <c r="G14" i="9"/>
  <c r="H13" i="9"/>
  <c r="G13" i="9"/>
  <c r="I12" i="9"/>
  <c r="H12" i="9"/>
  <c r="I11" i="9"/>
  <c r="H11" i="9"/>
  <c r="G11" i="9"/>
  <c r="H10" i="9"/>
  <c r="G10" i="9"/>
  <c r="H9" i="9"/>
  <c r="G9" i="9"/>
  <c r="H8" i="9"/>
  <c r="G8" i="9"/>
  <c r="H7" i="9"/>
  <c r="G7" i="9"/>
  <c r="I6" i="9"/>
  <c r="H6" i="9"/>
  <c r="H5" i="9"/>
  <c r="G5" i="9"/>
  <c r="I4" i="9"/>
  <c r="H4" i="9"/>
  <c r="G4" i="9"/>
  <c r="I3" i="9"/>
  <c r="H3" i="9"/>
  <c r="G3" i="9"/>
  <c r="C20" i="9"/>
  <c r="B20" i="9"/>
  <c r="C19" i="9"/>
  <c r="B19" i="9"/>
  <c r="C18" i="9"/>
  <c r="B18" i="9"/>
  <c r="D17" i="9"/>
  <c r="C17" i="9"/>
  <c r="C16" i="9"/>
  <c r="B16" i="9"/>
  <c r="C15" i="9"/>
  <c r="B15" i="9"/>
  <c r="C14" i="9"/>
  <c r="B14" i="9"/>
  <c r="C13" i="9"/>
  <c r="B13" i="9"/>
  <c r="D12" i="9"/>
  <c r="C12" i="9"/>
  <c r="D11" i="9"/>
  <c r="C11" i="9"/>
  <c r="B11" i="9"/>
  <c r="C10" i="9"/>
  <c r="B10" i="9"/>
  <c r="C9" i="9"/>
  <c r="B9" i="9"/>
  <c r="C8" i="9"/>
  <c r="B8" i="9"/>
  <c r="C7" i="9"/>
  <c r="B7" i="9"/>
  <c r="D6" i="9"/>
  <c r="C6" i="9"/>
  <c r="C5" i="9"/>
  <c r="B5" i="9"/>
  <c r="D4" i="9"/>
  <c r="C4" i="9"/>
  <c r="B4" i="9"/>
  <c r="D3" i="9"/>
  <c r="C3" i="9"/>
  <c r="B3" i="9"/>
  <c r="R104" i="8"/>
  <c r="Q104" i="8"/>
  <c r="M104" i="8"/>
  <c r="L104" i="8"/>
  <c r="H104" i="8"/>
  <c r="G104" i="8"/>
  <c r="C104" i="8"/>
  <c r="B104" i="8"/>
  <c r="R103" i="8"/>
  <c r="Q103" i="8"/>
  <c r="M103" i="8"/>
  <c r="L103" i="8"/>
  <c r="H103" i="8"/>
  <c r="G103" i="8"/>
  <c r="C103" i="8"/>
  <c r="B103" i="8"/>
  <c r="R102" i="8"/>
  <c r="Q102" i="8"/>
  <c r="M102" i="8"/>
  <c r="L102" i="8"/>
  <c r="H102" i="8"/>
  <c r="G102" i="8"/>
  <c r="C102" i="8"/>
  <c r="B102" i="8"/>
  <c r="S101" i="8"/>
  <c r="R101" i="8"/>
  <c r="N101" i="8"/>
  <c r="M101" i="8"/>
  <c r="I101" i="8"/>
  <c r="H101" i="8"/>
  <c r="D101" i="8"/>
  <c r="C101" i="8"/>
  <c r="R100" i="8"/>
  <c r="Q100" i="8"/>
  <c r="M100" i="8"/>
  <c r="L100" i="8"/>
  <c r="H100" i="8"/>
  <c r="G100" i="8"/>
  <c r="C100" i="8"/>
  <c r="B100" i="8"/>
  <c r="R99" i="8"/>
  <c r="Q99" i="8"/>
  <c r="M99" i="8"/>
  <c r="L99" i="8"/>
  <c r="H99" i="8"/>
  <c r="G99" i="8"/>
  <c r="C99" i="8"/>
  <c r="B99" i="8"/>
  <c r="R98" i="8"/>
  <c r="Q98" i="8"/>
  <c r="M98" i="8"/>
  <c r="L98" i="8"/>
  <c r="H98" i="8"/>
  <c r="G98" i="8"/>
  <c r="C98" i="8"/>
  <c r="B98" i="8"/>
  <c r="S97" i="8"/>
  <c r="R97" i="8"/>
  <c r="N97" i="8"/>
  <c r="M97" i="8"/>
  <c r="I97" i="8"/>
  <c r="H97" i="8"/>
  <c r="D97" i="8"/>
  <c r="C97" i="8"/>
  <c r="R96" i="8"/>
  <c r="Q96" i="8"/>
  <c r="M96" i="8"/>
  <c r="L96" i="8"/>
  <c r="H96" i="8"/>
  <c r="G96" i="8"/>
  <c r="C96" i="8"/>
  <c r="B96" i="8"/>
  <c r="R95" i="8"/>
  <c r="Q95" i="8"/>
  <c r="M95" i="8"/>
  <c r="L95" i="8"/>
  <c r="H95" i="8"/>
  <c r="G95" i="8"/>
  <c r="C95" i="8"/>
  <c r="B95" i="8"/>
  <c r="R94" i="8"/>
  <c r="Q94" i="8"/>
  <c r="M94" i="8"/>
  <c r="L94" i="8"/>
  <c r="H94" i="8"/>
  <c r="G94" i="8"/>
  <c r="C94" i="8"/>
  <c r="B94" i="8"/>
  <c r="S93" i="8"/>
  <c r="R93" i="8"/>
  <c r="N93" i="8"/>
  <c r="M93" i="8"/>
  <c r="I93" i="8"/>
  <c r="H93" i="8"/>
  <c r="D93" i="8"/>
  <c r="C93" i="8"/>
  <c r="R92" i="8"/>
  <c r="Q92" i="8"/>
  <c r="M92" i="8"/>
  <c r="L92" i="8"/>
  <c r="H92" i="8"/>
  <c r="G92" i="8"/>
  <c r="C92" i="8"/>
  <c r="B92" i="8"/>
  <c r="S91" i="8"/>
  <c r="R91" i="8"/>
  <c r="N91" i="8"/>
  <c r="M91" i="8"/>
  <c r="I91" i="8"/>
  <c r="H91" i="8"/>
  <c r="D91" i="8"/>
  <c r="C91" i="8"/>
  <c r="R90" i="8"/>
  <c r="Q90" i="8"/>
  <c r="M90" i="8"/>
  <c r="L90" i="8"/>
  <c r="H90" i="8"/>
  <c r="G90" i="8"/>
  <c r="S89" i="8"/>
  <c r="R89" i="8"/>
  <c r="N89" i="8"/>
  <c r="M89" i="8"/>
  <c r="I89" i="8"/>
  <c r="H89" i="8"/>
  <c r="D89" i="8"/>
  <c r="C89" i="8"/>
  <c r="R88" i="8"/>
  <c r="Q88" i="8"/>
  <c r="M88" i="8"/>
  <c r="L88" i="8"/>
  <c r="H88" i="8"/>
  <c r="G88" i="8"/>
  <c r="C88" i="8"/>
  <c r="B88" i="8"/>
  <c r="S87" i="8"/>
  <c r="R87" i="8"/>
  <c r="N87" i="8"/>
  <c r="M87" i="8"/>
  <c r="I87" i="8"/>
  <c r="H87" i="8"/>
  <c r="D87" i="8"/>
  <c r="C87" i="8"/>
  <c r="R86" i="8"/>
  <c r="Q86" i="8"/>
  <c r="M86" i="8"/>
  <c r="L86" i="8"/>
  <c r="H86" i="8"/>
  <c r="G86" i="8"/>
  <c r="C86" i="8"/>
  <c r="B86" i="8"/>
  <c r="S85" i="8"/>
  <c r="R85" i="8"/>
  <c r="N85" i="8"/>
  <c r="M85" i="8"/>
  <c r="I85" i="8"/>
  <c r="H85" i="8"/>
  <c r="D85" i="8"/>
  <c r="C85" i="8"/>
  <c r="R84" i="8"/>
  <c r="Q84" i="8"/>
  <c r="M84" i="8"/>
  <c r="L84" i="8"/>
  <c r="H84" i="8"/>
  <c r="G84" i="8"/>
  <c r="C84" i="8"/>
  <c r="B84" i="8"/>
  <c r="S83" i="8"/>
  <c r="R83" i="8"/>
  <c r="N83" i="8"/>
  <c r="M83" i="8"/>
  <c r="I83" i="8"/>
  <c r="H83" i="8"/>
  <c r="D83" i="8"/>
  <c r="C83" i="8"/>
  <c r="R82" i="8"/>
  <c r="Q82" i="8"/>
  <c r="M82" i="8"/>
  <c r="L82" i="8"/>
  <c r="H82" i="8"/>
  <c r="G82" i="8"/>
  <c r="C82" i="8"/>
  <c r="B82" i="8"/>
  <c r="S81" i="8"/>
  <c r="R81" i="8"/>
  <c r="N81" i="8"/>
  <c r="M81" i="8"/>
  <c r="I81" i="8"/>
  <c r="H81" i="8"/>
  <c r="D81" i="8"/>
  <c r="C81" i="8"/>
  <c r="R80" i="8"/>
  <c r="Q80" i="8"/>
  <c r="M80" i="8"/>
  <c r="L80" i="8"/>
  <c r="H80" i="8"/>
  <c r="G80" i="8"/>
  <c r="C80" i="8"/>
  <c r="B80" i="8"/>
  <c r="S79" i="8"/>
  <c r="R79" i="8"/>
  <c r="N79" i="8"/>
  <c r="M79" i="8"/>
  <c r="I79" i="8"/>
  <c r="H79" i="8"/>
  <c r="D79" i="8"/>
  <c r="C79" i="8"/>
  <c r="R78" i="8"/>
  <c r="Q78" i="8"/>
  <c r="M78" i="8"/>
  <c r="L78" i="8"/>
  <c r="H78" i="8"/>
  <c r="G78" i="8"/>
  <c r="C78" i="8"/>
  <c r="B78" i="8"/>
  <c r="S77" i="8"/>
  <c r="R77" i="8"/>
  <c r="N77" i="8"/>
  <c r="M77" i="8"/>
  <c r="I77" i="8"/>
  <c r="H77" i="8"/>
  <c r="D77" i="8"/>
  <c r="C77" i="8"/>
  <c r="R76" i="8"/>
  <c r="Q76" i="8"/>
  <c r="M76" i="8"/>
  <c r="L76" i="8"/>
  <c r="H76" i="8"/>
  <c r="G76" i="8"/>
  <c r="C76" i="8"/>
  <c r="B76" i="8"/>
  <c r="S75" i="8"/>
  <c r="R75" i="8"/>
  <c r="N75" i="8"/>
  <c r="M75" i="8"/>
  <c r="I75" i="8"/>
  <c r="H75" i="8"/>
  <c r="D75" i="8"/>
  <c r="C75" i="8"/>
  <c r="R74" i="8"/>
  <c r="Q74" i="8"/>
  <c r="M74" i="8"/>
  <c r="L74" i="8"/>
  <c r="H74" i="8"/>
  <c r="G74" i="8"/>
  <c r="C74" i="8"/>
  <c r="B74" i="8"/>
  <c r="S73" i="8"/>
  <c r="R73" i="8"/>
  <c r="N73" i="8"/>
  <c r="M73" i="8"/>
  <c r="I73" i="8"/>
  <c r="H73" i="8"/>
  <c r="D73" i="8"/>
  <c r="C73" i="8"/>
  <c r="R72" i="8"/>
  <c r="Q72" i="8"/>
  <c r="M72" i="8"/>
  <c r="L72" i="8"/>
  <c r="H72" i="8"/>
  <c r="G72" i="8"/>
  <c r="C72" i="8"/>
  <c r="B72" i="8"/>
  <c r="S71" i="8"/>
  <c r="R71" i="8"/>
  <c r="N71" i="8"/>
  <c r="M71" i="8"/>
  <c r="I71" i="8"/>
  <c r="H71" i="8"/>
  <c r="D71" i="8"/>
  <c r="C71" i="8"/>
  <c r="R70" i="8"/>
  <c r="Q70" i="8"/>
  <c r="M70" i="8"/>
  <c r="L70" i="8"/>
  <c r="H70" i="8"/>
  <c r="G70" i="8"/>
  <c r="C70" i="8"/>
  <c r="B70" i="8"/>
  <c r="S69" i="8"/>
  <c r="R69" i="8"/>
  <c r="N69" i="8"/>
  <c r="M69" i="8"/>
  <c r="I69" i="8"/>
  <c r="H69" i="8"/>
  <c r="D69" i="8"/>
  <c r="C69" i="8"/>
  <c r="R68" i="8"/>
  <c r="Q68" i="8"/>
  <c r="M68" i="8"/>
  <c r="L68" i="8"/>
  <c r="H68" i="8"/>
  <c r="G68" i="8"/>
  <c r="C68" i="8"/>
  <c r="B68" i="8"/>
  <c r="R67" i="8"/>
  <c r="Q67" i="8"/>
  <c r="M67" i="8"/>
  <c r="L67" i="8"/>
  <c r="H67" i="8"/>
  <c r="G67" i="8"/>
  <c r="C67" i="8"/>
  <c r="B67" i="8"/>
  <c r="R66" i="8"/>
  <c r="Q66" i="8"/>
  <c r="M66" i="8"/>
  <c r="L66" i="8"/>
  <c r="H66" i="8"/>
  <c r="G66" i="8"/>
  <c r="C66" i="8"/>
  <c r="B66" i="8"/>
  <c r="S65" i="8"/>
  <c r="R65" i="8"/>
  <c r="N65" i="8"/>
  <c r="M65" i="8"/>
  <c r="I65" i="8"/>
  <c r="H65" i="8"/>
  <c r="D65" i="8"/>
  <c r="C65" i="8"/>
  <c r="R64" i="8"/>
  <c r="Q64" i="8"/>
  <c r="M64" i="8"/>
  <c r="L64" i="8"/>
  <c r="H64" i="8"/>
  <c r="G64" i="8"/>
  <c r="C64" i="8"/>
  <c r="B64" i="8"/>
  <c r="R63" i="8"/>
  <c r="Q63" i="8"/>
  <c r="M63" i="8"/>
  <c r="L63" i="8"/>
  <c r="H63" i="8"/>
  <c r="G63" i="8"/>
  <c r="C63" i="8"/>
  <c r="B63" i="8"/>
  <c r="R62" i="8"/>
  <c r="Q62" i="8"/>
  <c r="M62" i="8"/>
  <c r="L62" i="8"/>
  <c r="H62" i="8"/>
  <c r="G62" i="8"/>
  <c r="C62" i="8"/>
  <c r="B62" i="8"/>
  <c r="S61" i="8"/>
  <c r="R61" i="8"/>
  <c r="N61" i="8"/>
  <c r="M61" i="8"/>
  <c r="I61" i="8"/>
  <c r="H61" i="8"/>
  <c r="D61" i="8"/>
  <c r="C61" i="8"/>
  <c r="R60" i="8"/>
  <c r="Q60" i="8"/>
  <c r="M60" i="8"/>
  <c r="L60" i="8"/>
  <c r="H60" i="8"/>
  <c r="G60" i="8"/>
  <c r="C60" i="8"/>
  <c r="B60" i="8"/>
  <c r="R59" i="8"/>
  <c r="Q59" i="8"/>
  <c r="M59" i="8"/>
  <c r="L59" i="8"/>
  <c r="H59" i="8"/>
  <c r="G59" i="8"/>
  <c r="C59" i="8"/>
  <c r="B59" i="8"/>
  <c r="R58" i="8"/>
  <c r="Q58" i="8"/>
  <c r="M58" i="8"/>
  <c r="L58" i="8"/>
  <c r="H58" i="8"/>
  <c r="G58" i="8"/>
  <c r="C58" i="8"/>
  <c r="B58" i="8"/>
  <c r="S57" i="8"/>
  <c r="R57" i="8"/>
  <c r="N57" i="8"/>
  <c r="M57" i="8"/>
  <c r="I57" i="8"/>
  <c r="H57" i="8"/>
  <c r="D57" i="8"/>
  <c r="C57" i="8"/>
  <c r="R56" i="8"/>
  <c r="Q56" i="8"/>
  <c r="M56" i="8"/>
  <c r="L56" i="8"/>
  <c r="H56" i="8"/>
  <c r="G56" i="8"/>
  <c r="C56" i="8"/>
  <c r="B56" i="8"/>
  <c r="S55" i="8"/>
  <c r="R55" i="8"/>
  <c r="Q55" i="8"/>
  <c r="N55" i="8"/>
  <c r="M55" i="8"/>
  <c r="L55" i="8"/>
  <c r="I55" i="8"/>
  <c r="H55" i="8"/>
  <c r="G55" i="8"/>
  <c r="R54" i="8"/>
  <c r="Q54" i="8"/>
  <c r="M54" i="8"/>
  <c r="L54" i="8"/>
  <c r="H54" i="8"/>
  <c r="G54" i="8"/>
  <c r="C54" i="8"/>
  <c r="B54" i="8"/>
  <c r="S53" i="8"/>
  <c r="R53" i="8"/>
  <c r="Q53" i="8"/>
  <c r="N53" i="8"/>
  <c r="M53" i="8"/>
  <c r="L53" i="8"/>
  <c r="I53" i="8"/>
  <c r="H53" i="8"/>
  <c r="G53" i="8"/>
  <c r="D53" i="8"/>
  <c r="C53" i="8"/>
  <c r="B53" i="8"/>
  <c r="R52" i="8"/>
  <c r="Q52" i="8"/>
  <c r="M52" i="8"/>
  <c r="L52" i="8"/>
  <c r="H52" i="8"/>
  <c r="G52" i="8"/>
  <c r="C52" i="8"/>
  <c r="B52" i="8"/>
  <c r="T51" i="8"/>
  <c r="S51" i="8"/>
  <c r="R51" i="8"/>
  <c r="O51" i="8"/>
  <c r="N51" i="8"/>
  <c r="M51" i="8"/>
  <c r="J51" i="8"/>
  <c r="I51" i="8"/>
  <c r="H51" i="8"/>
  <c r="E51" i="8"/>
  <c r="D51" i="8"/>
  <c r="C51" i="8"/>
  <c r="R50" i="8"/>
  <c r="Q50" i="8"/>
  <c r="M50" i="8"/>
  <c r="L50" i="8"/>
  <c r="H50" i="8"/>
  <c r="G50" i="8"/>
  <c r="C50" i="8"/>
  <c r="B50" i="8"/>
  <c r="T49" i="8"/>
  <c r="S49" i="8"/>
  <c r="R49" i="8"/>
  <c r="O49" i="8"/>
  <c r="N49" i="8"/>
  <c r="M49" i="8"/>
  <c r="J49" i="8"/>
  <c r="I49" i="8"/>
  <c r="H49" i="8"/>
  <c r="E49" i="8"/>
  <c r="D49" i="8"/>
  <c r="C49" i="8"/>
  <c r="R48" i="8"/>
  <c r="Q48" i="8"/>
  <c r="M48" i="8"/>
  <c r="L48" i="8"/>
  <c r="H48" i="8"/>
  <c r="G48" i="8"/>
  <c r="C48" i="8"/>
  <c r="B48" i="8"/>
  <c r="S47" i="8"/>
  <c r="R47" i="8"/>
  <c r="Q47" i="8"/>
  <c r="N47" i="8"/>
  <c r="M47" i="8"/>
  <c r="L47" i="8"/>
  <c r="I47" i="8"/>
  <c r="H47" i="8"/>
  <c r="G47" i="8"/>
  <c r="D47" i="8"/>
  <c r="C47" i="8"/>
  <c r="B47" i="8"/>
  <c r="R46" i="8"/>
  <c r="Q46" i="8"/>
  <c r="M46" i="8"/>
  <c r="L46" i="8"/>
  <c r="H46" i="8"/>
  <c r="G46" i="8"/>
  <c r="C46" i="8"/>
  <c r="B46" i="8"/>
  <c r="S45" i="8"/>
  <c r="R45" i="8"/>
  <c r="Q45" i="8"/>
  <c r="N45" i="8"/>
  <c r="M45" i="8"/>
  <c r="L45" i="8"/>
  <c r="I45" i="8"/>
  <c r="H45" i="8"/>
  <c r="G45" i="8"/>
  <c r="D45" i="8"/>
  <c r="C45" i="8"/>
  <c r="B45" i="8"/>
  <c r="R44" i="8"/>
  <c r="Q44" i="8"/>
  <c r="M44" i="8"/>
  <c r="L44" i="8"/>
  <c r="H44" i="8"/>
  <c r="G44" i="8"/>
  <c r="C44" i="8"/>
  <c r="B44" i="8"/>
  <c r="T43" i="8"/>
  <c r="S43" i="8"/>
  <c r="R43" i="8"/>
  <c r="O43" i="8"/>
  <c r="N43" i="8"/>
  <c r="M43" i="8"/>
  <c r="J43" i="8"/>
  <c r="I43" i="8"/>
  <c r="H43" i="8"/>
  <c r="E43" i="8"/>
  <c r="D43" i="8"/>
  <c r="C43" i="8"/>
  <c r="R42" i="8"/>
  <c r="Q42" i="8"/>
  <c r="M42" i="8"/>
  <c r="L42" i="8"/>
  <c r="H42" i="8"/>
  <c r="G42" i="8"/>
  <c r="C42" i="8"/>
  <c r="B42" i="8"/>
  <c r="T41" i="8"/>
  <c r="S41" i="8"/>
  <c r="R41" i="8"/>
  <c r="O41" i="8"/>
  <c r="N41" i="8"/>
  <c r="M41" i="8"/>
  <c r="J41" i="8"/>
  <c r="I41" i="8"/>
  <c r="H41" i="8"/>
  <c r="E41" i="8"/>
  <c r="D41" i="8"/>
  <c r="C41" i="8"/>
  <c r="R40" i="8"/>
  <c r="Q40" i="8"/>
  <c r="M40" i="8"/>
  <c r="L40" i="8"/>
  <c r="H40" i="8"/>
  <c r="G40" i="8"/>
  <c r="C40" i="8"/>
  <c r="B40" i="8"/>
  <c r="R39" i="8"/>
  <c r="Q39" i="8"/>
  <c r="M39" i="8"/>
  <c r="L39" i="8"/>
  <c r="H39" i="8"/>
  <c r="G39" i="8"/>
  <c r="C39" i="8"/>
  <c r="B39" i="8"/>
  <c r="R38" i="8"/>
  <c r="Q38" i="8"/>
  <c r="M38" i="8"/>
  <c r="L38" i="8"/>
  <c r="H38" i="8"/>
  <c r="G38" i="8"/>
  <c r="C38" i="8"/>
  <c r="B38" i="8"/>
  <c r="S37" i="8"/>
  <c r="R37" i="8"/>
  <c r="N37" i="8"/>
  <c r="M37" i="8"/>
  <c r="I37" i="8"/>
  <c r="H37" i="8"/>
  <c r="D37" i="8"/>
  <c r="C37" i="8"/>
  <c r="R36" i="8"/>
  <c r="Q36" i="8"/>
  <c r="M36" i="8"/>
  <c r="L36" i="8"/>
  <c r="H36" i="8"/>
  <c r="G36" i="8"/>
  <c r="C36" i="8"/>
  <c r="B36" i="8"/>
  <c r="R35" i="8"/>
  <c r="Q35" i="8"/>
  <c r="M35" i="8"/>
  <c r="L35" i="8"/>
  <c r="H35" i="8"/>
  <c r="G35" i="8"/>
  <c r="C35" i="8"/>
  <c r="B35" i="8"/>
  <c r="R34" i="8"/>
  <c r="Q34" i="8"/>
  <c r="M34" i="8"/>
  <c r="L34" i="8"/>
  <c r="H34" i="8"/>
  <c r="G34" i="8"/>
  <c r="C34" i="8"/>
  <c r="B34" i="8"/>
  <c r="S33" i="8"/>
  <c r="R33" i="8"/>
  <c r="N33" i="8"/>
  <c r="M33" i="8"/>
  <c r="I33" i="8"/>
  <c r="H33" i="8"/>
  <c r="D33" i="8"/>
  <c r="C33" i="8"/>
  <c r="R32" i="8"/>
  <c r="Q32" i="8"/>
  <c r="M32" i="8"/>
  <c r="L32" i="8"/>
  <c r="H32" i="8"/>
  <c r="G32" i="8"/>
  <c r="C32" i="8"/>
  <c r="B32" i="8"/>
  <c r="R31" i="8"/>
  <c r="Q31" i="8"/>
  <c r="M31" i="8"/>
  <c r="L31" i="8"/>
  <c r="H31" i="8"/>
  <c r="G31" i="8"/>
  <c r="C31" i="8"/>
  <c r="B31" i="8"/>
  <c r="R30" i="8"/>
  <c r="Q30" i="8"/>
  <c r="M30" i="8"/>
  <c r="L30" i="8"/>
  <c r="H30" i="8"/>
  <c r="G30" i="8"/>
  <c r="C30" i="8"/>
  <c r="B30" i="8"/>
  <c r="S29" i="8"/>
  <c r="R29" i="8"/>
  <c r="N29" i="8"/>
  <c r="M29" i="8"/>
  <c r="I29" i="8"/>
  <c r="H29" i="8"/>
  <c r="D29" i="8"/>
  <c r="C29" i="8"/>
  <c r="R28" i="8"/>
  <c r="Q28" i="8"/>
  <c r="M28" i="8"/>
  <c r="L28" i="8"/>
  <c r="H28" i="8"/>
  <c r="G28" i="8"/>
  <c r="C28" i="8"/>
  <c r="B28" i="8"/>
  <c r="S27" i="8"/>
  <c r="R27" i="8"/>
  <c r="N27" i="8"/>
  <c r="M27" i="8"/>
  <c r="I27" i="8"/>
  <c r="H27" i="8"/>
  <c r="R26" i="8"/>
  <c r="Q26" i="8"/>
  <c r="H26" i="8"/>
  <c r="G26" i="8"/>
  <c r="C26" i="8"/>
  <c r="B26" i="8"/>
  <c r="S25" i="8"/>
  <c r="R25" i="8"/>
  <c r="N25" i="8"/>
  <c r="M25" i="8"/>
  <c r="I25" i="8"/>
  <c r="H25" i="8"/>
  <c r="D25" i="8"/>
  <c r="C25" i="8"/>
  <c r="R24" i="8"/>
  <c r="Q24" i="8"/>
  <c r="M24" i="8"/>
  <c r="L24" i="8"/>
  <c r="H24" i="8"/>
  <c r="G24" i="8"/>
  <c r="C24" i="8"/>
  <c r="B24" i="8"/>
  <c r="S23" i="8"/>
  <c r="R23" i="8"/>
  <c r="N23" i="8"/>
  <c r="M23" i="8"/>
  <c r="I23" i="8"/>
  <c r="H23" i="8"/>
  <c r="D23" i="8"/>
  <c r="C23" i="8"/>
  <c r="R22" i="8"/>
  <c r="Q22" i="8"/>
  <c r="M22" i="8"/>
  <c r="L22" i="8"/>
  <c r="H22" i="8"/>
  <c r="G22" i="8"/>
  <c r="C22" i="8"/>
  <c r="B22" i="8"/>
  <c r="S21" i="8"/>
  <c r="R21" i="8"/>
  <c r="N21" i="8"/>
  <c r="M21" i="8"/>
  <c r="I21" i="8"/>
  <c r="H21" i="8"/>
  <c r="D21" i="8"/>
  <c r="C21" i="8"/>
  <c r="R20" i="8"/>
  <c r="Q20" i="8"/>
  <c r="M20" i="8"/>
  <c r="L20" i="8"/>
  <c r="H20" i="8"/>
  <c r="G20" i="8"/>
  <c r="C20" i="8"/>
  <c r="B20" i="8"/>
  <c r="R19" i="8"/>
  <c r="Q19" i="8"/>
  <c r="M19" i="8"/>
  <c r="L19" i="8"/>
  <c r="H19" i="8"/>
  <c r="G19" i="8"/>
  <c r="C19" i="8"/>
  <c r="B19" i="8"/>
  <c r="R18" i="8"/>
  <c r="Q18" i="8"/>
  <c r="M18" i="8"/>
  <c r="L18" i="8"/>
  <c r="H18" i="8"/>
  <c r="G18" i="8"/>
  <c r="C18" i="8"/>
  <c r="B18" i="8"/>
  <c r="S17" i="8"/>
  <c r="R17" i="8"/>
  <c r="N17" i="8"/>
  <c r="M17" i="8"/>
  <c r="I17" i="8"/>
  <c r="H17" i="8"/>
  <c r="D17" i="8"/>
  <c r="C17" i="8"/>
  <c r="R16" i="8"/>
  <c r="Q16" i="8"/>
  <c r="M16" i="8"/>
  <c r="L16" i="8"/>
  <c r="H16" i="8"/>
  <c r="G16" i="8"/>
  <c r="C16" i="8"/>
  <c r="B16" i="8"/>
  <c r="R15" i="8"/>
  <c r="Q15" i="8"/>
  <c r="M15" i="8"/>
  <c r="L15" i="8"/>
  <c r="H15" i="8"/>
  <c r="G15" i="8"/>
  <c r="C15" i="8"/>
  <c r="B15" i="8"/>
  <c r="R14" i="8"/>
  <c r="Q14" i="8"/>
  <c r="M14" i="8"/>
  <c r="L14" i="8"/>
  <c r="H14" i="8"/>
  <c r="G14" i="8"/>
  <c r="C14" i="8"/>
  <c r="B14" i="8"/>
  <c r="R13" i="8"/>
  <c r="Q13" i="8"/>
  <c r="M13" i="8"/>
  <c r="L13" i="8"/>
  <c r="H13" i="8"/>
  <c r="G13" i="8"/>
  <c r="C13" i="8"/>
  <c r="B13" i="8"/>
  <c r="S12" i="8"/>
  <c r="R12" i="8"/>
  <c r="N12" i="8"/>
  <c r="M12" i="8"/>
  <c r="I12" i="8"/>
  <c r="H12" i="8"/>
  <c r="D12" i="8"/>
  <c r="C12" i="8"/>
  <c r="S11" i="8"/>
  <c r="R11" i="8"/>
  <c r="Q11" i="8"/>
  <c r="N11" i="8"/>
  <c r="M11" i="8"/>
  <c r="L11" i="8"/>
  <c r="I11" i="8"/>
  <c r="H11" i="8"/>
  <c r="G11" i="8"/>
  <c r="D11" i="8"/>
  <c r="C11" i="8"/>
  <c r="B11" i="8"/>
  <c r="R10" i="8"/>
  <c r="Q10" i="8"/>
  <c r="M10" i="8"/>
  <c r="L10" i="8"/>
  <c r="H10" i="8"/>
  <c r="G10" i="8"/>
  <c r="C10" i="8"/>
  <c r="B10" i="8"/>
  <c r="R9" i="8"/>
  <c r="Q9" i="8"/>
  <c r="M9" i="8"/>
  <c r="L9" i="8"/>
  <c r="H9" i="8"/>
  <c r="G9" i="8"/>
  <c r="C9" i="8"/>
  <c r="B9" i="8"/>
  <c r="M8" i="8"/>
  <c r="L8" i="8"/>
  <c r="H8" i="8"/>
  <c r="G8" i="8"/>
  <c r="C8" i="8"/>
  <c r="B8" i="8"/>
  <c r="R7" i="8"/>
  <c r="Q7" i="8"/>
  <c r="M7" i="8"/>
  <c r="L7" i="8"/>
  <c r="H7" i="8"/>
  <c r="G7" i="8"/>
  <c r="C7" i="8"/>
  <c r="B7" i="8"/>
  <c r="S6" i="8"/>
  <c r="R6" i="8"/>
  <c r="N6" i="8"/>
  <c r="M6" i="8"/>
  <c r="I6" i="8"/>
  <c r="H6" i="8"/>
  <c r="D6" i="8"/>
  <c r="C6" i="8"/>
  <c r="M5" i="8"/>
  <c r="L5" i="8"/>
  <c r="H5" i="8"/>
  <c r="G5" i="8"/>
  <c r="C5" i="8"/>
  <c r="B5" i="8"/>
  <c r="S4" i="8"/>
  <c r="R4" i="8"/>
  <c r="Q4" i="8"/>
  <c r="N4" i="8"/>
  <c r="M4" i="8"/>
  <c r="L4" i="8"/>
  <c r="I4" i="8"/>
  <c r="H4" i="8"/>
  <c r="G4" i="8"/>
  <c r="D4" i="8"/>
  <c r="C4" i="8"/>
  <c r="B4" i="8"/>
  <c r="N3" i="8"/>
  <c r="M3" i="8"/>
  <c r="L3" i="8"/>
  <c r="I3" i="8"/>
  <c r="H3" i="8"/>
  <c r="G3" i="8"/>
  <c r="D3" i="8"/>
  <c r="C3" i="8"/>
  <c r="B3" i="8"/>
  <c r="R104" i="7"/>
  <c r="Q104" i="7"/>
  <c r="R103" i="7"/>
  <c r="Q103" i="7"/>
  <c r="R102" i="7"/>
  <c r="Q102" i="7"/>
  <c r="S101" i="7"/>
  <c r="R101" i="7"/>
  <c r="R100" i="7"/>
  <c r="Q100" i="7"/>
  <c r="R99" i="7"/>
  <c r="Q99" i="7"/>
  <c r="R98" i="7"/>
  <c r="Q98" i="7"/>
  <c r="S97" i="7"/>
  <c r="R97" i="7"/>
  <c r="R96" i="7"/>
  <c r="Q96" i="7"/>
  <c r="R95" i="7"/>
  <c r="Q95" i="7"/>
  <c r="R94" i="7"/>
  <c r="Q94" i="7"/>
  <c r="S93" i="7"/>
  <c r="R93" i="7"/>
  <c r="R92" i="7"/>
  <c r="Q92" i="7"/>
  <c r="S91" i="7"/>
  <c r="R91" i="7"/>
  <c r="R90" i="7"/>
  <c r="Q90" i="7"/>
  <c r="S89" i="7"/>
  <c r="R89" i="7"/>
  <c r="R88" i="7"/>
  <c r="Q88" i="7"/>
  <c r="S87" i="7"/>
  <c r="R87" i="7"/>
  <c r="R86" i="7"/>
  <c r="Q86" i="7"/>
  <c r="S85" i="7"/>
  <c r="R85" i="7"/>
  <c r="R84" i="7"/>
  <c r="Q84" i="7"/>
  <c r="S83" i="7"/>
  <c r="R83" i="7"/>
  <c r="R82" i="7"/>
  <c r="Q82" i="7"/>
  <c r="S81" i="7"/>
  <c r="R81" i="7"/>
  <c r="R80" i="7"/>
  <c r="Q80" i="7"/>
  <c r="S79" i="7"/>
  <c r="R79" i="7"/>
  <c r="R78" i="7"/>
  <c r="Q78" i="7"/>
  <c r="S77" i="7"/>
  <c r="R77" i="7"/>
  <c r="R76" i="7"/>
  <c r="Q76" i="7"/>
  <c r="S75" i="7"/>
  <c r="R75" i="7"/>
  <c r="R74" i="7"/>
  <c r="Q74" i="7"/>
  <c r="S73" i="7"/>
  <c r="R73" i="7"/>
  <c r="R72" i="7"/>
  <c r="Q72" i="7"/>
  <c r="S71" i="7"/>
  <c r="R71" i="7"/>
  <c r="R70" i="7"/>
  <c r="Q70" i="7"/>
  <c r="S69" i="7"/>
  <c r="R69" i="7"/>
  <c r="R68" i="7"/>
  <c r="Q68" i="7"/>
  <c r="R67" i="7"/>
  <c r="Q67" i="7"/>
  <c r="R66" i="7"/>
  <c r="Q66" i="7"/>
  <c r="S65" i="7"/>
  <c r="R65" i="7"/>
  <c r="R64" i="7"/>
  <c r="Q64" i="7"/>
  <c r="R63" i="7"/>
  <c r="Q63" i="7"/>
  <c r="R62" i="7"/>
  <c r="Q62" i="7"/>
  <c r="S61" i="7"/>
  <c r="R61" i="7"/>
  <c r="R60" i="7"/>
  <c r="Q60" i="7"/>
  <c r="R59" i="7"/>
  <c r="Q59" i="7"/>
  <c r="R58" i="7"/>
  <c r="Q58" i="7"/>
  <c r="S57" i="7"/>
  <c r="R57" i="7"/>
  <c r="R56" i="7"/>
  <c r="Q56" i="7"/>
  <c r="S55" i="7"/>
  <c r="R55" i="7"/>
  <c r="Q55" i="7"/>
  <c r="R54" i="7"/>
  <c r="Q54" i="7"/>
  <c r="S53" i="7"/>
  <c r="R53" i="7"/>
  <c r="Q53" i="7"/>
  <c r="R52" i="7"/>
  <c r="Q52" i="7"/>
  <c r="T51" i="7"/>
  <c r="S51" i="7"/>
  <c r="R51" i="7"/>
  <c r="R50" i="7"/>
  <c r="Q50" i="7"/>
  <c r="T49" i="7"/>
  <c r="S49" i="7"/>
  <c r="R49" i="7"/>
  <c r="R48" i="7"/>
  <c r="Q48" i="7"/>
  <c r="S47" i="7"/>
  <c r="R47" i="7"/>
  <c r="Q47" i="7"/>
  <c r="R46" i="7"/>
  <c r="Q46" i="7"/>
  <c r="S45" i="7"/>
  <c r="R45" i="7"/>
  <c r="Q45" i="7"/>
  <c r="R44" i="7"/>
  <c r="Q44" i="7"/>
  <c r="T43" i="7"/>
  <c r="S43" i="7"/>
  <c r="R43" i="7"/>
  <c r="R42" i="7"/>
  <c r="Q42" i="7"/>
  <c r="T41" i="7"/>
  <c r="S41" i="7"/>
  <c r="R41" i="7"/>
  <c r="R40" i="7"/>
  <c r="Q40" i="7"/>
  <c r="R39" i="7"/>
  <c r="Q39" i="7"/>
  <c r="R38" i="7"/>
  <c r="Q38" i="7"/>
  <c r="S37" i="7"/>
  <c r="R37" i="7"/>
  <c r="R36" i="7"/>
  <c r="Q36" i="7"/>
  <c r="R35" i="7"/>
  <c r="Q35" i="7"/>
  <c r="R34" i="7"/>
  <c r="Q34" i="7"/>
  <c r="S33" i="7"/>
  <c r="R33" i="7"/>
  <c r="R32" i="7"/>
  <c r="Q32" i="7"/>
  <c r="R31" i="7"/>
  <c r="Q31" i="7"/>
  <c r="R30" i="7"/>
  <c r="Q30" i="7"/>
  <c r="S29" i="7"/>
  <c r="R29" i="7"/>
  <c r="R28" i="7"/>
  <c r="Q28" i="7"/>
  <c r="S27" i="7"/>
  <c r="R27" i="7"/>
  <c r="R26" i="7"/>
  <c r="Q26" i="7"/>
  <c r="S25" i="7"/>
  <c r="R25" i="7"/>
  <c r="R24" i="7"/>
  <c r="Q24" i="7"/>
  <c r="S23" i="7"/>
  <c r="R23" i="7"/>
  <c r="R22" i="7"/>
  <c r="Q22" i="7"/>
  <c r="S21" i="7"/>
  <c r="R21" i="7"/>
  <c r="R20" i="7"/>
  <c r="Q20" i="7"/>
  <c r="R19" i="7"/>
  <c r="Q19" i="7"/>
  <c r="R18" i="7"/>
  <c r="Q18" i="7"/>
  <c r="S17" i="7"/>
  <c r="R17" i="7"/>
  <c r="R16" i="7"/>
  <c r="Q16" i="7"/>
  <c r="R15" i="7"/>
  <c r="Q15" i="7"/>
  <c r="R14" i="7"/>
  <c r="Q14" i="7"/>
  <c r="R13" i="7"/>
  <c r="Q13" i="7"/>
  <c r="S12" i="7"/>
  <c r="R12" i="7"/>
  <c r="S11" i="7"/>
  <c r="R11" i="7"/>
  <c r="Q11" i="7"/>
  <c r="R10" i="7"/>
  <c r="Q10" i="7"/>
  <c r="R9" i="7"/>
  <c r="Q9" i="7"/>
  <c r="R7" i="7"/>
  <c r="Q7" i="7"/>
  <c r="S6" i="7"/>
  <c r="R6" i="7"/>
  <c r="S4" i="7"/>
  <c r="R4" i="7"/>
  <c r="Q4" i="7"/>
  <c r="M104" i="7"/>
  <c r="L104" i="7"/>
  <c r="M103" i="7"/>
  <c r="L103" i="7"/>
  <c r="M102" i="7"/>
  <c r="L102" i="7"/>
  <c r="N101" i="7"/>
  <c r="M101" i="7"/>
  <c r="M100" i="7"/>
  <c r="L100" i="7"/>
  <c r="M99" i="7"/>
  <c r="L99" i="7"/>
  <c r="M98" i="7"/>
  <c r="L98" i="7"/>
  <c r="N97" i="7"/>
  <c r="M97" i="7"/>
  <c r="M96" i="7"/>
  <c r="L96" i="7"/>
  <c r="M95" i="7"/>
  <c r="L95" i="7"/>
  <c r="M94" i="7"/>
  <c r="L94" i="7"/>
  <c r="N93" i="7"/>
  <c r="M93" i="7"/>
  <c r="M92" i="7"/>
  <c r="L92" i="7"/>
  <c r="N91" i="7"/>
  <c r="M91" i="7"/>
  <c r="M90" i="7"/>
  <c r="L90" i="7"/>
  <c r="N89" i="7"/>
  <c r="M89" i="7"/>
  <c r="M88" i="7"/>
  <c r="L88" i="7"/>
  <c r="N87" i="7"/>
  <c r="M87" i="7"/>
  <c r="M86" i="7"/>
  <c r="L86" i="7"/>
  <c r="N85" i="7"/>
  <c r="M85" i="7"/>
  <c r="M84" i="7"/>
  <c r="L84" i="7"/>
  <c r="N83" i="7"/>
  <c r="M83" i="7"/>
  <c r="M82" i="7"/>
  <c r="L82" i="7"/>
  <c r="N81" i="7"/>
  <c r="M81" i="7"/>
  <c r="M80" i="7"/>
  <c r="L80" i="7"/>
  <c r="N79" i="7"/>
  <c r="M79" i="7"/>
  <c r="M78" i="7"/>
  <c r="L78" i="7"/>
  <c r="N77" i="7"/>
  <c r="M77" i="7"/>
  <c r="M76" i="7"/>
  <c r="L76" i="7"/>
  <c r="N75" i="7"/>
  <c r="M75" i="7"/>
  <c r="M74" i="7"/>
  <c r="L74" i="7"/>
  <c r="N73" i="7"/>
  <c r="M73" i="7"/>
  <c r="M72" i="7"/>
  <c r="L72" i="7"/>
  <c r="N71" i="7"/>
  <c r="M71" i="7"/>
  <c r="M70" i="7"/>
  <c r="L70" i="7"/>
  <c r="N69" i="7"/>
  <c r="M69" i="7"/>
  <c r="M68" i="7"/>
  <c r="L68" i="7"/>
  <c r="M67" i="7"/>
  <c r="L67" i="7"/>
  <c r="M66" i="7"/>
  <c r="L66" i="7"/>
  <c r="N65" i="7"/>
  <c r="M65" i="7"/>
  <c r="M64" i="7"/>
  <c r="L64" i="7"/>
  <c r="M63" i="7"/>
  <c r="L63" i="7"/>
  <c r="M62" i="7"/>
  <c r="L62" i="7"/>
  <c r="N61" i="7"/>
  <c r="M61" i="7"/>
  <c r="M60" i="7"/>
  <c r="L60" i="7"/>
  <c r="M59" i="7"/>
  <c r="L59" i="7"/>
  <c r="M58" i="7"/>
  <c r="L58" i="7"/>
  <c r="N57" i="7"/>
  <c r="M57" i="7"/>
  <c r="M56" i="7"/>
  <c r="L56" i="7"/>
  <c r="N55" i="7"/>
  <c r="M55" i="7"/>
  <c r="L55" i="7"/>
  <c r="M54" i="7"/>
  <c r="L54" i="7"/>
  <c r="N53" i="7"/>
  <c r="M53" i="7"/>
  <c r="L53" i="7"/>
  <c r="M52" i="7"/>
  <c r="L52" i="7"/>
  <c r="O51" i="7"/>
  <c r="N51" i="7"/>
  <c r="M51" i="7"/>
  <c r="M50" i="7"/>
  <c r="L50" i="7"/>
  <c r="O49" i="7"/>
  <c r="N49" i="7"/>
  <c r="M49" i="7"/>
  <c r="M48" i="7"/>
  <c r="L48" i="7"/>
  <c r="N47" i="7"/>
  <c r="M47" i="7"/>
  <c r="L47" i="7"/>
  <c r="M46" i="7"/>
  <c r="L46" i="7"/>
  <c r="N45" i="7"/>
  <c r="M45" i="7"/>
  <c r="L45" i="7"/>
  <c r="M44" i="7"/>
  <c r="L44" i="7"/>
  <c r="O43" i="7"/>
  <c r="N43" i="7"/>
  <c r="M43" i="7"/>
  <c r="M42" i="7"/>
  <c r="L42" i="7"/>
  <c r="O41" i="7"/>
  <c r="N41" i="7"/>
  <c r="M41" i="7"/>
  <c r="M40" i="7"/>
  <c r="L40" i="7"/>
  <c r="M39" i="7"/>
  <c r="L39" i="7"/>
  <c r="M38" i="7"/>
  <c r="L38" i="7"/>
  <c r="N37" i="7"/>
  <c r="M37" i="7"/>
  <c r="M36" i="7"/>
  <c r="L36" i="7"/>
  <c r="M35" i="7"/>
  <c r="L35" i="7"/>
  <c r="M34" i="7"/>
  <c r="L34" i="7"/>
  <c r="N33" i="7"/>
  <c r="M33" i="7"/>
  <c r="M32" i="7"/>
  <c r="L32" i="7"/>
  <c r="M31" i="7"/>
  <c r="L31" i="7"/>
  <c r="M30" i="7"/>
  <c r="L30" i="7"/>
  <c r="N29" i="7"/>
  <c r="M29" i="7"/>
  <c r="M28" i="7"/>
  <c r="L28" i="7"/>
  <c r="N27" i="7"/>
  <c r="M27" i="7"/>
  <c r="N25" i="7"/>
  <c r="M25" i="7"/>
  <c r="M24" i="7"/>
  <c r="L24" i="7"/>
  <c r="N23" i="7"/>
  <c r="M23" i="7"/>
  <c r="M22" i="7"/>
  <c r="L22" i="7"/>
  <c r="N21" i="7"/>
  <c r="M21" i="7"/>
  <c r="M20" i="7"/>
  <c r="L20" i="7"/>
  <c r="M19" i="7"/>
  <c r="L19" i="7"/>
  <c r="M18" i="7"/>
  <c r="L18" i="7"/>
  <c r="N17" i="7"/>
  <c r="M17" i="7"/>
  <c r="M16" i="7"/>
  <c r="L16" i="7"/>
  <c r="M15" i="7"/>
  <c r="L15" i="7"/>
  <c r="M14" i="7"/>
  <c r="L14" i="7"/>
  <c r="M13" i="7"/>
  <c r="L13" i="7"/>
  <c r="N12" i="7"/>
  <c r="M12" i="7"/>
  <c r="N11" i="7"/>
  <c r="M11" i="7"/>
  <c r="L11" i="7"/>
  <c r="M10" i="7"/>
  <c r="L10" i="7"/>
  <c r="M9" i="7"/>
  <c r="L9" i="7"/>
  <c r="M8" i="7"/>
  <c r="L8" i="7"/>
  <c r="M7" i="7"/>
  <c r="L7" i="7"/>
  <c r="N6" i="7"/>
  <c r="M6" i="7"/>
  <c r="M5" i="7"/>
  <c r="L5" i="7"/>
  <c r="N4" i="7"/>
  <c r="M4" i="7"/>
  <c r="L4" i="7"/>
  <c r="N3" i="7"/>
  <c r="M3" i="7"/>
  <c r="L3" i="7"/>
  <c r="H104" i="7"/>
  <c r="G104" i="7"/>
  <c r="H103" i="7"/>
  <c r="G103" i="7"/>
  <c r="H102" i="7"/>
  <c r="G102" i="7"/>
  <c r="I101" i="7"/>
  <c r="H101" i="7"/>
  <c r="H100" i="7"/>
  <c r="G100" i="7"/>
  <c r="H99" i="7"/>
  <c r="G99" i="7"/>
  <c r="H98" i="7"/>
  <c r="G98" i="7"/>
  <c r="I97" i="7"/>
  <c r="H97" i="7"/>
  <c r="H96" i="7"/>
  <c r="G96" i="7"/>
  <c r="H95" i="7"/>
  <c r="G95" i="7"/>
  <c r="H94" i="7"/>
  <c r="G94" i="7"/>
  <c r="I93" i="7"/>
  <c r="H93" i="7"/>
  <c r="H92" i="7"/>
  <c r="G92" i="7"/>
  <c r="I91" i="7"/>
  <c r="H91" i="7"/>
  <c r="H90" i="7"/>
  <c r="G90" i="7"/>
  <c r="I89" i="7"/>
  <c r="H89" i="7"/>
  <c r="H88" i="7"/>
  <c r="G88" i="7"/>
  <c r="I87" i="7"/>
  <c r="H87" i="7"/>
  <c r="H86" i="7"/>
  <c r="G86" i="7"/>
  <c r="I85" i="7"/>
  <c r="H85" i="7"/>
  <c r="H84" i="7"/>
  <c r="G84" i="7"/>
  <c r="I83" i="7"/>
  <c r="H83" i="7"/>
  <c r="H82" i="7"/>
  <c r="G82" i="7"/>
  <c r="I81" i="7"/>
  <c r="H81" i="7"/>
  <c r="H80" i="7"/>
  <c r="G80" i="7"/>
  <c r="I79" i="7"/>
  <c r="H79" i="7"/>
  <c r="H78" i="7"/>
  <c r="G78" i="7"/>
  <c r="I77" i="7"/>
  <c r="H77" i="7"/>
  <c r="H76" i="7"/>
  <c r="G76" i="7"/>
  <c r="I75" i="7"/>
  <c r="H75" i="7"/>
  <c r="H74" i="7"/>
  <c r="G74" i="7"/>
  <c r="I73" i="7"/>
  <c r="H73" i="7"/>
  <c r="H72" i="7"/>
  <c r="G72" i="7"/>
  <c r="I71" i="7"/>
  <c r="H71" i="7"/>
  <c r="H70" i="7"/>
  <c r="G70" i="7"/>
  <c r="I69" i="7"/>
  <c r="H69" i="7"/>
  <c r="H68" i="7"/>
  <c r="G68" i="7"/>
  <c r="H67" i="7"/>
  <c r="G67" i="7"/>
  <c r="H66" i="7"/>
  <c r="G66" i="7"/>
  <c r="I65" i="7"/>
  <c r="H65" i="7"/>
  <c r="H64" i="7"/>
  <c r="G64" i="7"/>
  <c r="H63" i="7"/>
  <c r="G63" i="7"/>
  <c r="H62" i="7"/>
  <c r="G62" i="7"/>
  <c r="I61" i="7"/>
  <c r="H61" i="7"/>
  <c r="H60" i="7"/>
  <c r="G60" i="7"/>
  <c r="H59" i="7"/>
  <c r="G59" i="7"/>
  <c r="H58" i="7"/>
  <c r="G58" i="7"/>
  <c r="I57" i="7"/>
  <c r="H57" i="7"/>
  <c r="H56" i="7"/>
  <c r="G56" i="7"/>
  <c r="I55" i="7"/>
  <c r="H55" i="7"/>
  <c r="G55" i="7"/>
  <c r="H54" i="7"/>
  <c r="G54" i="7"/>
  <c r="I53" i="7"/>
  <c r="H53" i="7"/>
  <c r="G53" i="7"/>
  <c r="H52" i="7"/>
  <c r="G52" i="7"/>
  <c r="J51" i="7"/>
  <c r="I51" i="7"/>
  <c r="H51" i="7"/>
  <c r="H50" i="7"/>
  <c r="G50" i="7"/>
  <c r="J49" i="7"/>
  <c r="I49" i="7"/>
  <c r="H49" i="7"/>
  <c r="H48" i="7"/>
  <c r="G48" i="7"/>
  <c r="I47" i="7"/>
  <c r="H47" i="7"/>
  <c r="G47" i="7"/>
  <c r="H46" i="7"/>
  <c r="G46" i="7"/>
  <c r="I45" i="7"/>
  <c r="H45" i="7"/>
  <c r="G45" i="7"/>
  <c r="H44" i="7"/>
  <c r="G44" i="7"/>
  <c r="J43" i="7"/>
  <c r="I43" i="7"/>
  <c r="H43" i="7"/>
  <c r="H42" i="7"/>
  <c r="G42" i="7"/>
  <c r="J41" i="7"/>
  <c r="I41" i="7"/>
  <c r="H41" i="7"/>
  <c r="H40" i="7"/>
  <c r="G40" i="7"/>
  <c r="H39" i="7"/>
  <c r="G39" i="7"/>
  <c r="H38" i="7"/>
  <c r="G38" i="7"/>
  <c r="I37" i="7"/>
  <c r="H37" i="7"/>
  <c r="H36" i="7"/>
  <c r="G36" i="7"/>
  <c r="H35" i="7"/>
  <c r="G35" i="7"/>
  <c r="H34" i="7"/>
  <c r="G34" i="7"/>
  <c r="I33" i="7"/>
  <c r="H33" i="7"/>
  <c r="H32" i="7"/>
  <c r="G32" i="7"/>
  <c r="H31" i="7"/>
  <c r="G31" i="7"/>
  <c r="H30" i="7"/>
  <c r="G30" i="7"/>
  <c r="I29" i="7"/>
  <c r="H29" i="7"/>
  <c r="H28" i="7"/>
  <c r="G28" i="7"/>
  <c r="I27" i="7"/>
  <c r="H27" i="7"/>
  <c r="H26" i="7"/>
  <c r="G26" i="7"/>
  <c r="I25" i="7"/>
  <c r="H25" i="7"/>
  <c r="H24" i="7"/>
  <c r="G24" i="7"/>
  <c r="I23" i="7"/>
  <c r="H23" i="7"/>
  <c r="H22" i="7"/>
  <c r="G22" i="7"/>
  <c r="I21" i="7"/>
  <c r="H21" i="7"/>
  <c r="H20" i="7"/>
  <c r="G20" i="7"/>
  <c r="H19" i="7"/>
  <c r="G19" i="7"/>
  <c r="H18" i="7"/>
  <c r="G18" i="7"/>
  <c r="I17" i="7"/>
  <c r="H17" i="7"/>
  <c r="H16" i="7"/>
  <c r="G16" i="7"/>
  <c r="H15" i="7"/>
  <c r="G15" i="7"/>
  <c r="H14" i="7"/>
  <c r="G14" i="7"/>
  <c r="H13" i="7"/>
  <c r="G13" i="7"/>
  <c r="I12" i="7"/>
  <c r="H12" i="7"/>
  <c r="I11" i="7"/>
  <c r="H11" i="7"/>
  <c r="G11" i="7"/>
  <c r="H10" i="7"/>
  <c r="G10" i="7"/>
  <c r="H9" i="7"/>
  <c r="G9" i="7"/>
  <c r="H8" i="7"/>
  <c r="G8" i="7"/>
  <c r="H7" i="7"/>
  <c r="G7" i="7"/>
  <c r="I6" i="7"/>
  <c r="H6" i="7"/>
  <c r="H5" i="7"/>
  <c r="G5" i="7"/>
  <c r="I4" i="7"/>
  <c r="H4" i="7"/>
  <c r="G4" i="7"/>
  <c r="I3" i="7"/>
  <c r="H3" i="7"/>
  <c r="G3" i="7"/>
  <c r="C104" i="7"/>
  <c r="B104" i="7"/>
  <c r="C103" i="7"/>
  <c r="B103" i="7"/>
  <c r="C102" i="7"/>
  <c r="B102" i="7"/>
  <c r="D101" i="7"/>
  <c r="C101" i="7"/>
  <c r="C100" i="7"/>
  <c r="B100" i="7"/>
  <c r="C99" i="7"/>
  <c r="B99" i="7"/>
  <c r="C98" i="7"/>
  <c r="B98" i="7"/>
  <c r="D97" i="7"/>
  <c r="C97" i="7"/>
  <c r="C96" i="7"/>
  <c r="B96" i="7"/>
  <c r="C95" i="7"/>
  <c r="B95" i="7"/>
  <c r="C94" i="7"/>
  <c r="B94" i="7"/>
  <c r="D93" i="7"/>
  <c r="C93" i="7"/>
  <c r="C92" i="7"/>
  <c r="B92" i="7"/>
  <c r="D91" i="7"/>
  <c r="C91" i="7"/>
  <c r="D89" i="7"/>
  <c r="C89" i="7"/>
  <c r="C88" i="7"/>
  <c r="B88" i="7"/>
  <c r="D87" i="7"/>
  <c r="C87" i="7"/>
  <c r="C86" i="7"/>
  <c r="B86" i="7"/>
  <c r="D85" i="7"/>
  <c r="C85" i="7"/>
  <c r="C84" i="7"/>
  <c r="B84" i="7"/>
  <c r="D83" i="7"/>
  <c r="C83" i="7"/>
  <c r="C82" i="7"/>
  <c r="B82" i="7"/>
  <c r="D81" i="7"/>
  <c r="C81" i="7"/>
  <c r="C80" i="7"/>
  <c r="B80" i="7"/>
  <c r="D79" i="7"/>
  <c r="C79" i="7"/>
  <c r="C78" i="7"/>
  <c r="B78" i="7"/>
  <c r="D77" i="7"/>
  <c r="C77" i="7"/>
  <c r="C76" i="7"/>
  <c r="B76" i="7"/>
  <c r="D75" i="7"/>
  <c r="C75" i="7"/>
  <c r="C74" i="7"/>
  <c r="B74" i="7"/>
  <c r="D73" i="7"/>
  <c r="C73" i="7"/>
  <c r="C72" i="7"/>
  <c r="B72" i="7"/>
  <c r="D71" i="7"/>
  <c r="C71" i="7"/>
  <c r="C70" i="7"/>
  <c r="B70" i="7"/>
  <c r="D69" i="7"/>
  <c r="C69" i="7"/>
  <c r="C68" i="7"/>
  <c r="B68" i="7"/>
  <c r="C67" i="7"/>
  <c r="B67" i="7"/>
  <c r="C66" i="7"/>
  <c r="B66" i="7"/>
  <c r="D65" i="7"/>
  <c r="C65" i="7"/>
  <c r="C64" i="7"/>
  <c r="B64" i="7"/>
  <c r="C63" i="7"/>
  <c r="B63" i="7"/>
  <c r="C62" i="7"/>
  <c r="B62" i="7"/>
  <c r="D61" i="7"/>
  <c r="C61" i="7"/>
  <c r="C60" i="7"/>
  <c r="B60" i="7"/>
  <c r="C59" i="7"/>
  <c r="B59" i="7"/>
  <c r="C58" i="7"/>
  <c r="B58" i="7"/>
  <c r="D57" i="7"/>
  <c r="C57" i="7"/>
  <c r="C56" i="7"/>
  <c r="B56" i="7"/>
  <c r="C54" i="7"/>
  <c r="B54" i="7"/>
  <c r="D53" i="7"/>
  <c r="C53" i="7"/>
  <c r="B53" i="7"/>
  <c r="C52" i="7"/>
  <c r="B52" i="7"/>
  <c r="E51" i="7"/>
  <c r="D51" i="7"/>
  <c r="C51" i="7"/>
  <c r="C50" i="7"/>
  <c r="B50" i="7"/>
  <c r="E49" i="7"/>
  <c r="D49" i="7"/>
  <c r="C49" i="7"/>
  <c r="C48" i="7"/>
  <c r="B48" i="7"/>
  <c r="D47" i="7"/>
  <c r="C47" i="7"/>
  <c r="B47" i="7"/>
  <c r="C46" i="7"/>
  <c r="B46" i="7"/>
  <c r="D45" i="7"/>
  <c r="C45" i="7"/>
  <c r="B45" i="7"/>
  <c r="C44" i="7"/>
  <c r="B44" i="7"/>
  <c r="E43" i="7"/>
  <c r="D43" i="7"/>
  <c r="C43" i="7"/>
  <c r="C42" i="7"/>
  <c r="B42" i="7"/>
  <c r="E41" i="7"/>
  <c r="D41" i="7"/>
  <c r="C41" i="7"/>
  <c r="C40" i="7"/>
  <c r="B40" i="7"/>
  <c r="C39" i="7"/>
  <c r="B39" i="7"/>
  <c r="C38" i="7"/>
  <c r="B38" i="7"/>
  <c r="D37" i="7"/>
  <c r="C37" i="7"/>
  <c r="C36" i="7"/>
  <c r="B36" i="7"/>
  <c r="C35" i="7"/>
  <c r="B35" i="7"/>
  <c r="C34" i="7"/>
  <c r="B34" i="7"/>
  <c r="D33" i="7"/>
  <c r="C33" i="7"/>
  <c r="C32" i="7"/>
  <c r="B32" i="7"/>
  <c r="C31" i="7"/>
  <c r="B31" i="7"/>
  <c r="C30" i="7"/>
  <c r="B30" i="7"/>
  <c r="D29" i="7"/>
  <c r="C29" i="7"/>
  <c r="C28" i="7"/>
  <c r="B28" i="7"/>
  <c r="C26" i="7"/>
  <c r="B26" i="7"/>
  <c r="D25" i="7"/>
  <c r="C25" i="7"/>
  <c r="C24" i="7"/>
  <c r="B24" i="7"/>
  <c r="D23" i="7"/>
  <c r="C23" i="7"/>
  <c r="C22" i="7"/>
  <c r="B22" i="7"/>
  <c r="D21" i="7"/>
  <c r="C21" i="7"/>
  <c r="C20" i="7"/>
  <c r="B20" i="7"/>
  <c r="C19" i="7"/>
  <c r="B19" i="7"/>
  <c r="C18" i="7"/>
  <c r="B18" i="7"/>
  <c r="D17" i="7"/>
  <c r="C17" i="7"/>
  <c r="C16" i="7"/>
  <c r="B16" i="7"/>
  <c r="C15" i="7"/>
  <c r="B15" i="7"/>
  <c r="C14" i="7"/>
  <c r="B14" i="7"/>
  <c r="C13" i="7"/>
  <c r="B13" i="7"/>
  <c r="D12" i="7"/>
  <c r="C12" i="7"/>
  <c r="D11" i="7"/>
  <c r="C11" i="7"/>
  <c r="B11" i="7"/>
  <c r="C10" i="7"/>
  <c r="B10" i="7"/>
  <c r="C9" i="7"/>
  <c r="B9" i="7"/>
  <c r="C8" i="7"/>
  <c r="B8" i="7"/>
  <c r="C7" i="7"/>
  <c r="B7" i="7"/>
  <c r="D6" i="7"/>
  <c r="C6" i="7"/>
  <c r="C5" i="7"/>
  <c r="B5" i="7"/>
  <c r="D4" i="7"/>
  <c r="C4" i="7"/>
  <c r="B4" i="7"/>
  <c r="B3" i="7"/>
  <c r="C3" i="7"/>
  <c r="D3" i="7"/>
  <c r="G4" i="5"/>
  <c r="G4" i="1"/>
  <c r="S12" i="5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B55" i="5" a="1"/>
  <c r="R3" i="5" a="1"/>
  <c r="C55" i="1" a="1"/>
  <c r="Q3" i="5" a="1"/>
  <c r="R5" i="1" a="1"/>
  <c r="C55" i="5" a="1"/>
  <c r="S3" i="1" a="1"/>
  <c r="Q8" i="5" a="1"/>
  <c r="L26" i="1" a="1"/>
  <c r="D55" i="1" a="1"/>
  <c r="M26" i="1" a="1"/>
  <c r="C27" i="1" a="1"/>
  <c r="Q5" i="5" a="1"/>
  <c r="C90" i="1" a="1"/>
  <c r="D27" i="5" a="1"/>
  <c r="M26" i="5" a="1"/>
  <c r="B90" i="5" a="1"/>
  <c r="C90" i="5" a="1"/>
  <c r="R8" i="5" a="1"/>
  <c r="Q3" i="1" a="1"/>
  <c r="Q8" i="1" a="1"/>
  <c r="D55" i="5" a="1"/>
  <c r="R5" i="5" a="1"/>
  <c r="R3" i="1" a="1"/>
  <c r="Q5" i="1" a="1"/>
  <c r="B90" i="1" a="1"/>
  <c r="L26" i="5" a="1"/>
  <c r="D27" i="1" a="1"/>
  <c r="S3" i="5" a="1"/>
  <c r="R8" i="1" a="1"/>
  <c r="B55" i="1" a="1"/>
  <c r="C27" i="5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  <c r="S3" i="8" l="1"/>
  <c r="R3" i="8"/>
  <c r="Q3" i="8"/>
  <c r="R8" i="8"/>
  <c r="Q8" i="8"/>
  <c r="M26" i="8"/>
  <c r="L26" i="8"/>
  <c r="C90" i="8"/>
  <c r="B90" i="8"/>
  <c r="D27" i="8"/>
  <c r="C27" i="8"/>
  <c r="R5" i="8"/>
  <c r="Q5" i="8"/>
  <c r="D55" i="8"/>
  <c r="C55" i="8"/>
  <c r="B55" i="8"/>
  <c r="R8" i="7"/>
  <c r="Q8" i="7"/>
  <c r="D27" i="7"/>
  <c r="C27" i="7"/>
  <c r="R5" i="7"/>
  <c r="Q5" i="7"/>
  <c r="C90" i="7"/>
  <c r="B90" i="7"/>
  <c r="D55" i="7"/>
  <c r="C55" i="7"/>
  <c r="B55" i="7"/>
  <c r="L26" i="7"/>
  <c r="M26" i="7"/>
  <c r="S3" i="7"/>
  <c r="R3" i="7"/>
  <c r="Q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<sst xmlns="http://schemas.openxmlformats.org/spreadsheetml/2006/main" count="249" uniqueCount="18">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</sst>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7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6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3" fillId="0" borderId="28" xfId="0" applyFont="1" applyBorder="1" applyAlignment="1">
      <alignment vertical="top" wrapText="1"/>
    </xf>
    <xf numFmtId="0" fontId="3" fillId="0" borderId="29" xfId="0" applyFont="1" applyBorder="1" applyAlignment="1">
      <alignment vertical="top" wrapText="1"/>
    </xf>
    <xf numFmtId="0" fontId="3" fillId="0" borderId="25" xfId="0" applyNumberFormat="1" applyFont="1" applyBorder="1" applyAlignment="1">
      <alignment vertical="top" wrapText="1"/>
    </xf>
    <xf numFmtId="0" fontId="3" fillId="0" borderId="16" xfId="0" applyNumberFormat="1" applyFont="1" applyBorder="1" applyAlignment="1">
      <alignment vertical="top" wrapText="1"/>
    </xf>
    <xf numFmtId="0" fontId="3" fillId="0" borderId="30" xfId="0" applyFont="1" applyBorder="1" applyAlignment="1">
      <alignment vertical="top" wrapText="1"/>
    </xf>
    <xf numFmtId="0" fontId="3" fillId="0" borderId="20" xfId="0" applyNumberFormat="1" applyFont="1" applyBorder="1" applyAlignment="1">
      <alignment vertical="top" wrapText="1"/>
    </xf>
    <xf numFmtId="0" fontId="3" fillId="0" borderId="31" xfId="0" applyNumberFormat="1" applyFont="1" applyBorder="1" applyAlignment="1">
      <alignment vertical="top" wrapText="1"/>
    </xf>
    <xf numFmtId="0" fontId="3" fillId="0" borderId="26" xfId="0" applyNumberFormat="1" applyFont="1" applyBorder="1" applyAlignment="1">
      <alignment vertical="top" wrapText="1"/>
    </xf>
    <xf numFmtId="0" fontId="3" fillId="0" borderId="26" xfId="0" applyFont="1" applyBorder="1" applyAlignment="1">
      <alignment vertical="top" wrapText="1"/>
    </xf>
    <xf numFmtId="0" fontId="3" fillId="0" borderId="31" xfId="0" applyFont="1" applyBorder="1" applyAlignment="1">
      <alignment vertical="top" wrapText="1"/>
    </xf>
    <xf numFmtId="0" fontId="3" fillId="0" borderId="29" xfId="0" applyNumberFormat="1" applyFont="1" applyBorder="1" applyAlignment="1">
      <alignment vertical="top" wrapText="1"/>
    </xf>
    <xf numFmtId="0" fontId="3" fillId="0" borderId="24" xfId="0" applyFont="1" applyBorder="1">
      <alignment vertical="top" wrapText="1"/>
    </xf>
    <xf numFmtId="0" fontId="3" fillId="0" borderId="1" xfId="0" applyFont="1" applyBorder="1">
      <alignment vertical="top" wrapText="1"/>
    </xf>
    <xf numFmtId="0" fontId="3" fillId="0" borderId="15" xfId="0" applyNumberFormat="1" applyFont="1" applyBorder="1" applyAlignment="1">
      <alignment vertical="top" wrapText="1"/>
    </xf>
    <xf numFmtId="0" fontId="3" fillId="0" borderId="30" xfId="0" applyNumberFormat="1" applyFont="1" applyBorder="1" applyAlignment="1">
      <alignment vertical="top" wrapText="1"/>
    </xf>
    <xf numFmtId="0" fontId="3" fillId="0" borderId="25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4" xfId="0" applyNumberFormat="1" applyFont="1" applyFill="1" applyBorder="1" applyAlignment="1">
      <alignment horizontal="center" vertical="top" wrapText="1"/>
    </xf>
    <xf numFmtId="0" fontId="2" fillId="2" borderId="35" xfId="0" applyNumberFormat="1" applyFont="1" applyFill="1" applyBorder="1" applyAlignment="1">
      <alignment horizontal="center" vertical="top" wrapText="1"/>
    </xf>
    <xf numFmtId="0" fontId="2" fillId="2" borderId="36" xfId="0" applyNumberFormat="1" applyFont="1" applyFill="1" applyBorder="1" applyAlignment="1">
      <alignment horizontal="center"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5C9EF-E2FE-924F-8664-76D88C911C76}">
  <sheetPr codeName="Sheet8">
    <pageSetUpPr fitToPage="1"/>
  </sheetPr>
  <dimension ref="A1:U104"/>
  <sheetViews>
    <sheetView showGridLines="0" tabSelected="1" zoomScale="75" zoomScaleNormal="90" workbookViewId="0">
      <pane xSplit="1" ySplit="2" topLeftCell="I86" activePane="bottomRight" state="frozen"/>
      <selection pane="topRight"/>
      <selection pane="bottomLeft"/>
      <selection pane="bottomRight" activeCell="P97" sqref="P97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f>AVERAGE('regrets 6 probs'!B3, 'regrets 4 probs'!B3)</f>
        <v>1</v>
      </c>
      <c r="C3" s="64">
        <f>AVERAGE('regrets 6 probs'!C3, 'regrets 4 probs'!C3)</f>
        <v>0</v>
      </c>
      <c r="D3" s="64">
        <f>AVERAGE('regrets 6 probs'!D3, 'regrets 4 probs'!D3)</f>
        <v>0</v>
      </c>
      <c r="E3" s="58"/>
      <c r="F3" s="80"/>
      <c r="G3" s="64">
        <f>AVERAGE('regrets 6 probs'!G3, 'regrets 4 probs'!G3)</f>
        <v>2.4026674512111403E-3</v>
      </c>
      <c r="H3" s="64">
        <f>AVERAGE('regrets 6 probs'!H3, 'regrets 4 probs'!H3)</f>
        <v>0.25663337744034814</v>
      </c>
      <c r="I3" s="64">
        <f>AVERAGE('regrets 6 probs'!I3, 'regrets 4 probs'!I3)</f>
        <v>0.74096395510844071</v>
      </c>
      <c r="J3" s="58"/>
      <c r="K3" s="80"/>
      <c r="L3" s="64">
        <f>AVERAGE('regrets 6 probs'!L3, 'regrets 4 probs'!L3)</f>
        <v>0.33333333333333331</v>
      </c>
      <c r="M3" s="64">
        <f>AVERAGE('regrets 6 probs'!M3, 'regrets 4 probs'!M3)</f>
        <v>0.33333333333333331</v>
      </c>
      <c r="N3" s="64">
        <f>AVERAGE('regrets 6 probs'!N3, 'regrets 4 probs'!N3)</f>
        <v>0.33333333333333331</v>
      </c>
      <c r="O3" s="58"/>
      <c r="P3" s="80"/>
      <c r="Q3" s="64">
        <f>AVERAGE('regrets 6 probs'!Q3, 'regrets 4 probs'!Q3)</f>
        <v>0.36998223801065722</v>
      </c>
      <c r="R3" s="64">
        <f>AVERAGE('regrets 6 probs'!R3, 'regrets 4 probs'!R3)</f>
        <v>0.37229129662522203</v>
      </c>
      <c r="S3" s="64">
        <f>AVERAGE('regrets 6 probs'!S3, 'regrets 4 probs'!S3)</f>
        <v>0.2577264653641208</v>
      </c>
      <c r="T3" s="58"/>
      <c r="U3" s="80"/>
    </row>
    <row r="4" spans="1:21" ht="20" customHeight="1" x14ac:dyDescent="0.15">
      <c r="A4" s="12">
        <v>1</v>
      </c>
      <c r="B4" s="61">
        <f>AVERAGE('regrets 6 probs'!B4, 'regrets 4 probs'!B4)</f>
        <v>0.33333333333333331</v>
      </c>
      <c r="C4" s="61">
        <f>AVERAGE('regrets 6 probs'!C4, 'regrets 4 probs'!C4)</f>
        <v>0.33333333333333331</v>
      </c>
      <c r="D4" s="61">
        <f>AVERAGE('regrets 6 probs'!D4, 'regrets 4 probs'!D4)</f>
        <v>0.33333333333333331</v>
      </c>
      <c r="E4" s="62"/>
      <c r="F4" s="81"/>
      <c r="G4" s="61">
        <f>AVERAGE('regrets 6 probs'!G4, 'regrets 4 probs'!G4)</f>
        <v>1</v>
      </c>
      <c r="H4" s="61">
        <f>AVERAGE('regrets 6 probs'!H4, 'regrets 4 probs'!H4)</f>
        <v>0</v>
      </c>
      <c r="I4" s="61">
        <f>AVERAGE('regrets 6 probs'!I4, 'regrets 4 probs'!I4)</f>
        <v>0</v>
      </c>
      <c r="J4" s="62"/>
      <c r="K4" s="81"/>
      <c r="L4" s="61">
        <f>AVERAGE('regrets 6 probs'!L4, 'regrets 4 probs'!L4)</f>
        <v>0.32812708583633693</v>
      </c>
      <c r="M4" s="61">
        <f>AVERAGE('regrets 6 probs'!M4, 'regrets 4 probs'!M4)</f>
        <v>0</v>
      </c>
      <c r="N4" s="61">
        <f>AVERAGE('regrets 6 probs'!N4, 'regrets 4 probs'!N4)</f>
        <v>0.67187291416366302</v>
      </c>
      <c r="O4" s="62"/>
      <c r="P4" s="81"/>
      <c r="Q4" s="61">
        <f>AVERAGE('regrets 6 probs'!Q4, 'regrets 4 probs'!Q4)</f>
        <v>0.33333333333333331</v>
      </c>
      <c r="R4" s="61">
        <f>AVERAGE('regrets 6 probs'!R4, 'regrets 4 probs'!R4)</f>
        <v>0.33333333333333331</v>
      </c>
      <c r="S4" s="61">
        <f>AVERAGE('regrets 6 probs'!S4, 'regrets 4 probs'!S4)</f>
        <v>0.33333333333333331</v>
      </c>
      <c r="T4" s="62"/>
      <c r="U4" s="81"/>
    </row>
    <row r="5" spans="1:21" ht="20" customHeight="1" x14ac:dyDescent="0.15">
      <c r="A5" s="12">
        <v>2</v>
      </c>
      <c r="B5" s="61">
        <f>AVERAGE('regrets 6 probs'!B5, 'regrets 4 probs'!B5)</f>
        <v>0.5</v>
      </c>
      <c r="C5" s="61">
        <f>AVERAGE('regrets 6 probs'!C5, 'regrets 4 probs'!C5)</f>
        <v>0.5</v>
      </c>
      <c r="D5" s="61"/>
      <c r="E5" s="62"/>
      <c r="F5" s="81"/>
      <c r="G5" s="61">
        <f>AVERAGE('regrets 6 probs'!G5, 'regrets 4 probs'!G5)</f>
        <v>0.5</v>
      </c>
      <c r="H5" s="61">
        <f>AVERAGE('regrets 6 probs'!H5, 'regrets 4 probs'!H5)</f>
        <v>0.5</v>
      </c>
      <c r="I5" s="61"/>
      <c r="J5" s="62"/>
      <c r="K5" s="81"/>
      <c r="L5" s="61">
        <f>AVERAGE('regrets 6 probs'!L5, 'regrets 4 probs'!L5)</f>
        <v>0.5</v>
      </c>
      <c r="M5" s="61">
        <f>AVERAGE('regrets 6 probs'!M5, 'regrets 4 probs'!M5)</f>
        <v>0.5</v>
      </c>
      <c r="N5" s="61"/>
      <c r="O5" s="62"/>
      <c r="P5" s="81"/>
      <c r="Q5" s="61">
        <f>AVERAGE('regrets 6 probs'!Q5, 'regrets 4 probs'!Q5)</f>
        <v>0</v>
      </c>
      <c r="R5" s="61">
        <f>AVERAGE('regrets 6 probs'!R5, 'regrets 4 probs'!R5)</f>
        <v>1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f>AVERAGE('regrets 6 probs'!C6, 'regrets 4 probs'!C6)</f>
        <v>0.5</v>
      </c>
      <c r="D6" s="61">
        <f>AVERAGE('regrets 6 probs'!D6, 'regrets 4 probs'!D6)</f>
        <v>0.5</v>
      </c>
      <c r="E6" s="62"/>
      <c r="F6" s="81"/>
      <c r="G6" s="60"/>
      <c r="H6" s="61">
        <f>AVERAGE('regrets 6 probs'!H6, 'regrets 4 probs'!H6)</f>
        <v>0.5</v>
      </c>
      <c r="I6" s="61">
        <f>AVERAGE('regrets 6 probs'!I6, 'regrets 4 probs'!I6)</f>
        <v>0.5</v>
      </c>
      <c r="J6" s="62"/>
      <c r="K6" s="81"/>
      <c r="L6" s="60"/>
      <c r="M6" s="61">
        <f>AVERAGE('regrets 6 probs'!M6, 'regrets 4 probs'!M6)</f>
        <v>0.5</v>
      </c>
      <c r="N6" s="61">
        <f>AVERAGE('regrets 6 probs'!N6, 'regrets 4 probs'!N6)</f>
        <v>0.5</v>
      </c>
      <c r="O6" s="62"/>
      <c r="P6" s="81"/>
      <c r="Q6" s="60"/>
      <c r="R6" s="61">
        <f>AVERAGE('regrets 6 probs'!R6, 'regrets 4 probs'!R6)</f>
        <v>0.5</v>
      </c>
      <c r="S6" s="61">
        <f>AVERAGE('regrets 6 probs'!S6, 'regrets 4 probs'!S6)</f>
        <v>0.5</v>
      </c>
      <c r="T6" s="62"/>
      <c r="U6" s="81"/>
    </row>
    <row r="7" spans="1:21" ht="20" customHeight="1" x14ac:dyDescent="0.15">
      <c r="A7" s="12">
        <v>4</v>
      </c>
      <c r="B7" s="61">
        <f>AVERAGE('regrets 6 probs'!B7, 'regrets 4 probs'!B7)</f>
        <v>0.5</v>
      </c>
      <c r="C7" s="61">
        <f>AVERAGE('regrets 6 probs'!C7, 'regrets 4 probs'!C7)</f>
        <v>0.5</v>
      </c>
      <c r="D7" s="61"/>
      <c r="E7" s="62"/>
      <c r="F7" s="81"/>
      <c r="G7" s="61">
        <f>AVERAGE('regrets 6 probs'!G7, 'regrets 4 probs'!G7)</f>
        <v>0.5</v>
      </c>
      <c r="H7" s="61">
        <f>AVERAGE('regrets 6 probs'!H7, 'regrets 4 probs'!H7)</f>
        <v>0.5</v>
      </c>
      <c r="I7" s="61"/>
      <c r="J7" s="62"/>
      <c r="K7" s="81"/>
      <c r="L7" s="61">
        <f>AVERAGE('regrets 6 probs'!L7, 'regrets 4 probs'!L7)</f>
        <v>0.5</v>
      </c>
      <c r="M7" s="61">
        <f>AVERAGE('regrets 6 probs'!M7, 'regrets 4 probs'!M7)</f>
        <v>0.5</v>
      </c>
      <c r="N7" s="61"/>
      <c r="O7" s="62"/>
      <c r="P7" s="81"/>
      <c r="Q7" s="61">
        <f>AVERAGE('regrets 6 probs'!Q7, 'regrets 4 probs'!Q7)</f>
        <v>0.5</v>
      </c>
      <c r="R7" s="61">
        <f>AVERAGE('regrets 6 probs'!R7, 'regrets 4 probs'!R7)</f>
        <v>0.5</v>
      </c>
      <c r="S7" s="61"/>
      <c r="T7" s="62"/>
      <c r="U7" s="81"/>
    </row>
    <row r="8" spans="1:21" ht="20" customHeight="1" x14ac:dyDescent="0.15">
      <c r="A8" s="12">
        <v>5</v>
      </c>
      <c r="B8" s="61">
        <f>AVERAGE('regrets 6 probs'!B8, 'regrets 4 probs'!B8)</f>
        <v>0.5</v>
      </c>
      <c r="C8" s="61">
        <f>AVERAGE('regrets 6 probs'!C8, 'regrets 4 probs'!C8)</f>
        <v>0.5</v>
      </c>
      <c r="D8" s="61"/>
      <c r="E8" s="62"/>
      <c r="F8" s="81"/>
      <c r="G8" s="61">
        <f>AVERAGE('regrets 6 probs'!G8, 'regrets 4 probs'!G8)</f>
        <v>0.5</v>
      </c>
      <c r="H8" s="61">
        <f>AVERAGE('regrets 6 probs'!H8, 'regrets 4 probs'!H8)</f>
        <v>0.5</v>
      </c>
      <c r="I8" s="61"/>
      <c r="J8" s="62"/>
      <c r="K8" s="81"/>
      <c r="L8" s="61">
        <f>AVERAGE('regrets 6 probs'!L8, 'regrets 4 probs'!L8)</f>
        <v>0.5</v>
      </c>
      <c r="M8" s="61">
        <f>AVERAGE('regrets 6 probs'!M8, 'regrets 4 probs'!M8)</f>
        <v>0.5</v>
      </c>
      <c r="N8" s="61"/>
      <c r="O8" s="62"/>
      <c r="P8" s="81"/>
      <c r="Q8" s="61">
        <f>AVERAGE('regrets 6 probs'!Q8, 'regrets 4 probs'!Q8)</f>
        <v>0</v>
      </c>
      <c r="R8" s="61">
        <f>AVERAGE('regrets 6 probs'!R8, 'regrets 4 probs'!R8)</f>
        <v>1</v>
      </c>
      <c r="S8" s="61"/>
      <c r="T8" s="62"/>
      <c r="U8" s="81"/>
    </row>
    <row r="9" spans="1:21" ht="20" customHeight="1" x14ac:dyDescent="0.15">
      <c r="A9" s="12">
        <v>6</v>
      </c>
      <c r="B9" s="61">
        <f>AVERAGE('regrets 6 probs'!B9, 'regrets 4 probs'!B9)</f>
        <v>0.5</v>
      </c>
      <c r="C9" s="61">
        <f>AVERAGE('regrets 6 probs'!C9, 'regrets 4 probs'!C9)</f>
        <v>0.5</v>
      </c>
      <c r="D9" s="61"/>
      <c r="E9" s="62"/>
      <c r="F9" s="81"/>
      <c r="G9" s="61">
        <f>AVERAGE('regrets 6 probs'!G9, 'regrets 4 probs'!G9)</f>
        <v>0.5</v>
      </c>
      <c r="H9" s="61">
        <f>AVERAGE('regrets 6 probs'!H9, 'regrets 4 probs'!H9)</f>
        <v>0.5</v>
      </c>
      <c r="I9" s="61"/>
      <c r="J9" s="62"/>
      <c r="K9" s="81"/>
      <c r="L9" s="61">
        <f>AVERAGE('regrets 6 probs'!L9, 'regrets 4 probs'!L9)</f>
        <v>0.5</v>
      </c>
      <c r="M9" s="61">
        <f>AVERAGE('regrets 6 probs'!M9, 'regrets 4 probs'!M9)</f>
        <v>0.5</v>
      </c>
      <c r="N9" s="61"/>
      <c r="O9" s="62"/>
      <c r="P9" s="81"/>
      <c r="Q9" s="61">
        <f>AVERAGE('regrets 6 probs'!Q9, 'regrets 4 probs'!Q9)</f>
        <v>0.5</v>
      </c>
      <c r="R9" s="61">
        <f>AVERAGE('regrets 6 probs'!R9, 'regrets 4 probs'!R9)</f>
        <v>0.5</v>
      </c>
      <c r="S9" s="61"/>
      <c r="T9" s="62"/>
      <c r="U9" s="81"/>
    </row>
    <row r="10" spans="1:21" ht="20" customHeight="1" x14ac:dyDescent="0.15">
      <c r="A10" s="12">
        <v>7</v>
      </c>
      <c r="B10" s="61">
        <f>AVERAGE('regrets 6 probs'!B10, 'regrets 4 probs'!B10)</f>
        <v>0.5</v>
      </c>
      <c r="C10" s="61">
        <f>AVERAGE('regrets 6 probs'!C10, 'regrets 4 probs'!C10)</f>
        <v>0.5</v>
      </c>
      <c r="D10" s="61"/>
      <c r="E10" s="62"/>
      <c r="F10" s="81"/>
      <c r="G10" s="61">
        <f>AVERAGE('regrets 6 probs'!G10, 'regrets 4 probs'!G10)</f>
        <v>0.5</v>
      </c>
      <c r="H10" s="61">
        <f>AVERAGE('regrets 6 probs'!H10, 'regrets 4 probs'!H10)</f>
        <v>0.5</v>
      </c>
      <c r="I10" s="61"/>
      <c r="J10" s="62"/>
      <c r="K10" s="81"/>
      <c r="L10" s="61">
        <f>AVERAGE('regrets 6 probs'!L10, 'regrets 4 probs'!L10)</f>
        <v>1</v>
      </c>
      <c r="M10" s="61">
        <f>AVERAGE('regrets 6 probs'!M10, 'regrets 4 probs'!M10)</f>
        <v>0</v>
      </c>
      <c r="N10" s="61"/>
      <c r="O10" s="62"/>
      <c r="P10" s="81"/>
      <c r="Q10" s="61">
        <f>AVERAGE('regrets 6 probs'!Q10, 'regrets 4 probs'!Q10)</f>
        <v>0.5</v>
      </c>
      <c r="R10" s="61">
        <f>AVERAGE('regrets 6 probs'!R10, 'regrets 4 probs'!R10)</f>
        <v>0.5</v>
      </c>
      <c r="S10" s="61"/>
      <c r="T10" s="62"/>
      <c r="U10" s="81"/>
    </row>
    <row r="11" spans="1:21" ht="20" customHeight="1" x14ac:dyDescent="0.15">
      <c r="A11" s="12">
        <v>8</v>
      </c>
      <c r="B11" s="61">
        <f>AVERAGE('regrets 6 probs'!B11, 'regrets 4 probs'!B11)</f>
        <v>0.33333333333333331</v>
      </c>
      <c r="C11" s="61">
        <f>AVERAGE('regrets 6 probs'!C11, 'regrets 4 probs'!C11)</f>
        <v>0.33333333333333331</v>
      </c>
      <c r="D11" s="61">
        <f>AVERAGE('regrets 6 probs'!D11, 'regrets 4 probs'!D11)</f>
        <v>0.33333333333333331</v>
      </c>
      <c r="E11" s="62"/>
      <c r="F11" s="81"/>
      <c r="G11" s="61">
        <f>AVERAGE('regrets 6 probs'!G11, 'regrets 4 probs'!G11)</f>
        <v>0.51831878103064544</v>
      </c>
      <c r="H11" s="61">
        <f>AVERAGE('regrets 6 probs'!H11, 'regrets 4 probs'!H11)</f>
        <v>0.16666666666666666</v>
      </c>
      <c r="I11" s="61">
        <f>AVERAGE('regrets 6 probs'!I11, 'regrets 4 probs'!I11)</f>
        <v>0.31501455230268788</v>
      </c>
      <c r="J11" s="62"/>
      <c r="K11" s="81"/>
      <c r="L11" s="61">
        <f>AVERAGE('regrets 6 probs'!L11, 'regrets 4 probs'!L11)</f>
        <v>0.33333333333333331</v>
      </c>
      <c r="M11" s="61">
        <f>AVERAGE('regrets 6 probs'!M11, 'regrets 4 probs'!M11)</f>
        <v>0.33333333333333331</v>
      </c>
      <c r="N11" s="61">
        <f>AVERAGE('regrets 6 probs'!N11, 'regrets 4 probs'!N11)</f>
        <v>0.33333333333333331</v>
      </c>
      <c r="O11" s="62"/>
      <c r="P11" s="81"/>
      <c r="Q11" s="61">
        <f>AVERAGE('regrets 6 probs'!Q11, 'regrets 4 probs'!Q11)</f>
        <v>0.33333333333333331</v>
      </c>
      <c r="R11" s="61">
        <f>AVERAGE('regrets 6 probs'!R11, 'regrets 4 probs'!R11)</f>
        <v>0.33333333333333331</v>
      </c>
      <c r="S11" s="61">
        <f>AVERAGE('regrets 6 probs'!S11, 'regrets 4 probs'!S11)</f>
        <v>0.33333333333333331</v>
      </c>
      <c r="T11" s="62"/>
      <c r="U11" s="81"/>
    </row>
    <row r="12" spans="1:21" ht="20" customHeight="1" x14ac:dyDescent="0.15">
      <c r="A12" s="12">
        <v>9</v>
      </c>
      <c r="B12" s="60"/>
      <c r="C12" s="61">
        <f>AVERAGE('regrets 6 probs'!C12, 'regrets 4 probs'!C12)</f>
        <v>0.5</v>
      </c>
      <c r="D12" s="61">
        <f>AVERAGE('regrets 6 probs'!D12, 'regrets 4 probs'!D12)</f>
        <v>0.5</v>
      </c>
      <c r="E12" s="62"/>
      <c r="F12" s="81"/>
      <c r="G12" s="60"/>
      <c r="H12" s="61">
        <f>AVERAGE('regrets 6 probs'!H12, 'regrets 4 probs'!H12)</f>
        <v>0.5</v>
      </c>
      <c r="I12" s="61">
        <f>AVERAGE('regrets 6 probs'!I12, 'regrets 4 probs'!I12)</f>
        <v>0.5</v>
      </c>
      <c r="J12" s="62"/>
      <c r="K12" s="81"/>
      <c r="L12" s="60"/>
      <c r="M12" s="61">
        <f>AVERAGE('regrets 6 probs'!M12, 'regrets 4 probs'!M12)</f>
        <v>0.5</v>
      </c>
      <c r="N12" s="61">
        <f>AVERAGE('regrets 6 probs'!N12, 'regrets 4 probs'!N12)</f>
        <v>0.5</v>
      </c>
      <c r="O12" s="62"/>
      <c r="P12" s="81"/>
      <c r="Q12" s="60"/>
      <c r="R12" s="61">
        <f>AVERAGE('regrets 6 probs'!R12, 'regrets 4 probs'!R12)</f>
        <v>0.75</v>
      </c>
      <c r="S12" s="61">
        <f>AVERAGE('regrets 6 probs'!S12, 'regrets 4 probs'!S12)</f>
        <v>0.25</v>
      </c>
      <c r="T12" s="62"/>
      <c r="U12" s="81"/>
    </row>
    <row r="13" spans="1:21" ht="20" customHeight="1" x14ac:dyDescent="0.15">
      <c r="A13" s="12">
        <v>10</v>
      </c>
      <c r="B13" s="61">
        <f>AVERAGE('regrets 6 probs'!B13, 'regrets 4 probs'!B13)</f>
        <v>0.5</v>
      </c>
      <c r="C13" s="61">
        <f>AVERAGE('regrets 6 probs'!C13, 'regrets 4 probs'!C13)</f>
        <v>0.5</v>
      </c>
      <c r="D13" s="61"/>
      <c r="E13" s="62"/>
      <c r="F13" s="81"/>
      <c r="G13" s="61">
        <f>AVERAGE('regrets 6 probs'!G13, 'regrets 4 probs'!G13)</f>
        <v>0.5</v>
      </c>
      <c r="H13" s="61">
        <f>AVERAGE('regrets 6 probs'!H13, 'regrets 4 probs'!H13)</f>
        <v>0.5</v>
      </c>
      <c r="I13" s="61"/>
      <c r="J13" s="62"/>
      <c r="K13" s="81"/>
      <c r="L13" s="61">
        <f>AVERAGE('regrets 6 probs'!L13, 'regrets 4 probs'!L13)</f>
        <v>0.5</v>
      </c>
      <c r="M13" s="61">
        <f>AVERAGE('regrets 6 probs'!M13, 'regrets 4 probs'!M13)</f>
        <v>0.5</v>
      </c>
      <c r="N13" s="61"/>
      <c r="O13" s="62"/>
      <c r="P13" s="81"/>
      <c r="Q13" s="61">
        <f>AVERAGE('regrets 6 probs'!Q13, 'regrets 4 probs'!Q13)</f>
        <v>0.5</v>
      </c>
      <c r="R13" s="61">
        <f>AVERAGE('regrets 6 probs'!R13, 'regrets 4 probs'!R13)</f>
        <v>0.5</v>
      </c>
      <c r="S13" s="61"/>
      <c r="T13" s="62"/>
      <c r="U13" s="81"/>
    </row>
    <row r="14" spans="1:21" ht="20" customHeight="1" x14ac:dyDescent="0.15">
      <c r="A14" s="12">
        <v>11</v>
      </c>
      <c r="B14" s="61">
        <f>AVERAGE('regrets 6 probs'!B14, 'regrets 4 probs'!B14)</f>
        <v>0.5</v>
      </c>
      <c r="C14" s="61">
        <f>AVERAGE('regrets 6 probs'!C14, 'regrets 4 probs'!C14)</f>
        <v>0.5</v>
      </c>
      <c r="D14" s="61"/>
      <c r="E14" s="62"/>
      <c r="F14" s="81"/>
      <c r="G14" s="61">
        <f>AVERAGE('regrets 6 probs'!G14, 'regrets 4 probs'!G14)</f>
        <v>0.5</v>
      </c>
      <c r="H14" s="61">
        <f>AVERAGE('regrets 6 probs'!H14, 'regrets 4 probs'!H14)</f>
        <v>0.5</v>
      </c>
      <c r="I14" s="61"/>
      <c r="J14" s="62"/>
      <c r="K14" s="81"/>
      <c r="L14" s="61">
        <f>AVERAGE('regrets 6 probs'!L14, 'regrets 4 probs'!L14)</f>
        <v>0.5</v>
      </c>
      <c r="M14" s="61">
        <f>AVERAGE('regrets 6 probs'!M14, 'regrets 4 probs'!M14)</f>
        <v>0.5</v>
      </c>
      <c r="N14" s="61"/>
      <c r="O14" s="62"/>
      <c r="P14" s="81"/>
      <c r="Q14" s="61">
        <f>AVERAGE('regrets 6 probs'!Q14, 'regrets 4 probs'!Q14)</f>
        <v>0.5</v>
      </c>
      <c r="R14" s="61">
        <f>AVERAGE('regrets 6 probs'!R14, 'regrets 4 probs'!R14)</f>
        <v>0.5</v>
      </c>
      <c r="S14" s="61"/>
      <c r="T14" s="62"/>
      <c r="U14" s="81"/>
    </row>
    <row r="15" spans="1:21" ht="20" customHeight="1" x14ac:dyDescent="0.15">
      <c r="A15" s="12">
        <v>12</v>
      </c>
      <c r="B15" s="61">
        <f>AVERAGE('regrets 6 probs'!B15, 'regrets 4 probs'!B15)</f>
        <v>0.5</v>
      </c>
      <c r="C15" s="61">
        <f>AVERAGE('regrets 6 probs'!C15, 'regrets 4 probs'!C15)</f>
        <v>0.5</v>
      </c>
      <c r="D15" s="61"/>
      <c r="E15" s="62"/>
      <c r="F15" s="81"/>
      <c r="G15" s="61">
        <f>AVERAGE('regrets 6 probs'!G15, 'regrets 4 probs'!G15)</f>
        <v>0.5</v>
      </c>
      <c r="H15" s="61">
        <f>AVERAGE('regrets 6 probs'!H15, 'regrets 4 probs'!H15)</f>
        <v>0.5</v>
      </c>
      <c r="I15" s="61"/>
      <c r="J15" s="62"/>
      <c r="K15" s="81"/>
      <c r="L15" s="61">
        <f>AVERAGE('regrets 6 probs'!L15, 'regrets 4 probs'!L15)</f>
        <v>0.5</v>
      </c>
      <c r="M15" s="61">
        <f>AVERAGE('regrets 6 probs'!M15, 'regrets 4 probs'!M15)</f>
        <v>0.5</v>
      </c>
      <c r="N15" s="61"/>
      <c r="O15" s="62"/>
      <c r="P15" s="81"/>
      <c r="Q15" s="61">
        <f>AVERAGE('regrets 6 probs'!Q15, 'regrets 4 probs'!Q15)</f>
        <v>0.5</v>
      </c>
      <c r="R15" s="61">
        <f>AVERAGE('regrets 6 probs'!R15, 'regrets 4 probs'!R15)</f>
        <v>0.5</v>
      </c>
      <c r="S15" s="61"/>
      <c r="T15" s="62"/>
      <c r="U15" s="81"/>
    </row>
    <row r="16" spans="1:21" ht="20" customHeight="1" x14ac:dyDescent="0.15">
      <c r="A16" s="12">
        <v>13</v>
      </c>
      <c r="B16" s="61">
        <f>AVERAGE('regrets 6 probs'!B16, 'regrets 4 probs'!B16)</f>
        <v>0.5</v>
      </c>
      <c r="C16" s="61">
        <f>AVERAGE('regrets 6 probs'!C16, 'regrets 4 probs'!C16)</f>
        <v>0.5</v>
      </c>
      <c r="D16" s="61"/>
      <c r="E16" s="62"/>
      <c r="F16" s="81"/>
      <c r="G16" s="61">
        <f>AVERAGE('regrets 6 probs'!G16, 'regrets 4 probs'!G16)</f>
        <v>0</v>
      </c>
      <c r="H16" s="61">
        <f>AVERAGE('regrets 6 probs'!H16, 'regrets 4 probs'!H16)</f>
        <v>1</v>
      </c>
      <c r="I16" s="61"/>
      <c r="J16" s="62"/>
      <c r="K16" s="81"/>
      <c r="L16" s="61">
        <f>AVERAGE('regrets 6 probs'!L16, 'regrets 4 probs'!L16)</f>
        <v>0.5</v>
      </c>
      <c r="M16" s="61">
        <f>AVERAGE('regrets 6 probs'!M16, 'regrets 4 probs'!M16)</f>
        <v>0.5</v>
      </c>
      <c r="N16" s="61"/>
      <c r="O16" s="62"/>
      <c r="P16" s="81"/>
      <c r="Q16" s="61">
        <f>AVERAGE('regrets 6 probs'!Q16, 'regrets 4 probs'!Q16)</f>
        <v>0.5</v>
      </c>
      <c r="R16" s="61">
        <f>AVERAGE('regrets 6 probs'!R16, 'regrets 4 probs'!R16)</f>
        <v>0.5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f>AVERAGE('regrets 6 probs'!C17, 'regrets 4 probs'!C17)</f>
        <v>0.5</v>
      </c>
      <c r="D17" s="61">
        <f>AVERAGE('regrets 6 probs'!D17, 'regrets 4 probs'!D17)</f>
        <v>0.5</v>
      </c>
      <c r="E17" s="62"/>
      <c r="F17" s="81"/>
      <c r="G17" s="60"/>
      <c r="H17" s="61">
        <f>AVERAGE('regrets 6 probs'!H17, 'regrets 4 probs'!H17)</f>
        <v>0.5</v>
      </c>
      <c r="I17" s="61">
        <f>AVERAGE('regrets 6 probs'!I17, 'regrets 4 probs'!I17)</f>
        <v>0.5</v>
      </c>
      <c r="J17" s="62"/>
      <c r="K17" s="81"/>
      <c r="L17" s="60"/>
      <c r="M17" s="61">
        <f>AVERAGE('regrets 6 probs'!M17, 'regrets 4 probs'!M17)</f>
        <v>0.5</v>
      </c>
      <c r="N17" s="61">
        <f>AVERAGE('regrets 6 probs'!N17, 'regrets 4 probs'!N17)</f>
        <v>0.5</v>
      </c>
      <c r="O17" s="62"/>
      <c r="P17" s="81"/>
      <c r="Q17" s="60"/>
      <c r="R17" s="61">
        <f>AVERAGE('regrets 6 probs'!R17, 'regrets 4 probs'!R17)</f>
        <v>0.5</v>
      </c>
      <c r="S17" s="61">
        <f>AVERAGE('regrets 6 probs'!S17, 'regrets 4 probs'!S17)</f>
        <v>0.5</v>
      </c>
      <c r="T17" s="62"/>
      <c r="U17" s="81"/>
    </row>
    <row r="18" spans="1:21" ht="20" customHeight="1" x14ac:dyDescent="0.15">
      <c r="A18" s="12">
        <v>15</v>
      </c>
      <c r="B18" s="61">
        <f>AVERAGE('regrets 6 probs'!B18, 'regrets 4 probs'!B18)</f>
        <v>0.5</v>
      </c>
      <c r="C18" s="61">
        <f>AVERAGE('regrets 6 probs'!C18, 'regrets 4 probs'!C18)</f>
        <v>0.5</v>
      </c>
      <c r="D18" s="61"/>
      <c r="E18" s="62"/>
      <c r="F18" s="81"/>
      <c r="G18" s="61">
        <f>AVERAGE('regrets 6 probs'!G18, 'regrets 4 probs'!G18)</f>
        <v>0.5</v>
      </c>
      <c r="H18" s="61">
        <f>AVERAGE('regrets 6 probs'!H18, 'regrets 4 probs'!H18)</f>
        <v>0.5</v>
      </c>
      <c r="I18" s="61"/>
      <c r="J18" s="62"/>
      <c r="K18" s="81"/>
      <c r="L18" s="61">
        <f>AVERAGE('regrets 6 probs'!L18, 'regrets 4 probs'!L18)</f>
        <v>0.5</v>
      </c>
      <c r="M18" s="61">
        <f>AVERAGE('regrets 6 probs'!M18, 'regrets 4 probs'!M18)</f>
        <v>0.5</v>
      </c>
      <c r="N18" s="61"/>
      <c r="O18" s="62"/>
      <c r="P18" s="81"/>
      <c r="Q18" s="61">
        <f>AVERAGE('regrets 6 probs'!Q18, 'regrets 4 probs'!Q18)</f>
        <v>0.5</v>
      </c>
      <c r="R18" s="61">
        <f>AVERAGE('regrets 6 probs'!R18, 'regrets 4 probs'!R18)</f>
        <v>0.5</v>
      </c>
      <c r="S18" s="61"/>
      <c r="T18" s="62"/>
      <c r="U18" s="81"/>
    </row>
    <row r="19" spans="1:21" ht="20" customHeight="1" x14ac:dyDescent="0.15">
      <c r="A19" s="12">
        <v>16</v>
      </c>
      <c r="B19" s="61">
        <f>AVERAGE('regrets 6 probs'!B19, 'regrets 4 probs'!B19)</f>
        <v>0.5</v>
      </c>
      <c r="C19" s="61">
        <f>AVERAGE('regrets 6 probs'!C19, 'regrets 4 probs'!C19)</f>
        <v>0.5</v>
      </c>
      <c r="D19" s="61"/>
      <c r="E19" s="62"/>
      <c r="F19" s="81"/>
      <c r="G19" s="61">
        <f>AVERAGE('regrets 6 probs'!G19, 'regrets 4 probs'!G19)</f>
        <v>0.5</v>
      </c>
      <c r="H19" s="61">
        <f>AVERAGE('regrets 6 probs'!H19, 'regrets 4 probs'!H19)</f>
        <v>0.5</v>
      </c>
      <c r="I19" s="61"/>
      <c r="J19" s="62"/>
      <c r="K19" s="81"/>
      <c r="L19" s="61">
        <f>AVERAGE('regrets 6 probs'!L19, 'regrets 4 probs'!L19)</f>
        <v>0.5</v>
      </c>
      <c r="M19" s="61">
        <f>AVERAGE('regrets 6 probs'!M19, 'regrets 4 probs'!M19)</f>
        <v>0.5</v>
      </c>
      <c r="N19" s="61"/>
      <c r="O19" s="62"/>
      <c r="P19" s="81"/>
      <c r="Q19" s="61">
        <f>AVERAGE('regrets 6 probs'!Q19, 'regrets 4 probs'!Q19)</f>
        <v>0.5</v>
      </c>
      <c r="R19" s="61">
        <f>AVERAGE('regrets 6 probs'!R19, 'regrets 4 probs'!R19)</f>
        <v>0.5</v>
      </c>
      <c r="S19" s="61"/>
      <c r="T19" s="62"/>
      <c r="U19" s="81"/>
    </row>
    <row r="20" spans="1:21" ht="20.75" customHeight="1" thickBot="1" x14ac:dyDescent="0.2">
      <c r="A20" s="17">
        <v>17</v>
      </c>
      <c r="B20" s="61">
        <f>AVERAGE('regrets 6 probs'!B20, 'regrets 4 probs'!B20)</f>
        <v>0.5</v>
      </c>
      <c r="C20" s="61">
        <f>AVERAGE('regrets 6 probs'!C20, 'regrets 4 probs'!C20)</f>
        <v>0.5</v>
      </c>
      <c r="D20" s="83"/>
      <c r="E20" s="75"/>
      <c r="F20" s="84"/>
      <c r="G20" s="61">
        <f>AVERAGE('regrets 6 probs'!G20, 'regrets 4 probs'!G20)</f>
        <v>0.5</v>
      </c>
      <c r="H20" s="61">
        <f>AVERAGE('regrets 6 probs'!H20, 'regrets 4 probs'!H20)</f>
        <v>0.5</v>
      </c>
      <c r="I20" s="83"/>
      <c r="J20" s="75"/>
      <c r="K20" s="84"/>
      <c r="L20" s="61">
        <f>AVERAGE('regrets 6 probs'!L20, 'regrets 4 probs'!L20)</f>
        <v>0.5</v>
      </c>
      <c r="M20" s="61">
        <f>AVERAGE('regrets 6 probs'!M20, 'regrets 4 probs'!M20)</f>
        <v>0.5</v>
      </c>
      <c r="N20" s="83"/>
      <c r="O20" s="75"/>
      <c r="P20" s="84"/>
      <c r="Q20" s="61">
        <f>AVERAGE('regrets 6 probs'!Q20, 'regrets 4 probs'!Q20)</f>
        <v>0.5</v>
      </c>
      <c r="R20" s="61">
        <f>AVERAGE('regrets 6 probs'!R20, 'regrets 4 probs'!R20)</f>
        <v>0.5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AVERAGE('regrets 6 probs'!C21, 'regrets 4 probs'!C21)</f>
        <v>0.5</v>
      </c>
      <c r="D21" s="68">
        <f>AVERAGE('regrets 6 probs'!D21, 'regrets 4 probs'!D21)</f>
        <v>0.5</v>
      </c>
      <c r="E21" s="67"/>
      <c r="F21" s="86"/>
      <c r="G21" s="85"/>
      <c r="H21" s="68">
        <f>AVERAGE('regrets 6 probs'!H21, 'regrets 4 probs'!H21)</f>
        <v>0</v>
      </c>
      <c r="I21" s="68">
        <f>AVERAGE('regrets 6 probs'!I21, 'regrets 4 probs'!I21)</f>
        <v>1</v>
      </c>
      <c r="J21" s="67"/>
      <c r="K21" s="86"/>
      <c r="L21" s="85"/>
      <c r="M21" s="68">
        <f>AVERAGE('regrets 6 probs'!M21, 'regrets 4 probs'!M21)</f>
        <v>0.5</v>
      </c>
      <c r="N21" s="68">
        <f>AVERAGE('regrets 6 probs'!N21, 'regrets 4 probs'!N21)</f>
        <v>0.5</v>
      </c>
      <c r="O21" s="67"/>
      <c r="P21" s="86"/>
      <c r="Q21" s="85"/>
      <c r="R21" s="68">
        <f>AVERAGE('regrets 6 probs'!R21, 'regrets 4 probs'!R21)</f>
        <v>0.5</v>
      </c>
      <c r="S21" s="68">
        <f>AVERAGE('regrets 6 probs'!S21, 'regrets 4 probs'!S21)</f>
        <v>0.5</v>
      </c>
      <c r="T21" s="67"/>
      <c r="U21" s="86"/>
    </row>
    <row r="22" spans="1:21" ht="20" customHeight="1" x14ac:dyDescent="0.15">
      <c r="A22" s="12">
        <v>1</v>
      </c>
      <c r="B22" s="61">
        <f>AVERAGE('regrets 6 probs'!B22, 'regrets 4 probs'!B22)</f>
        <v>0.5</v>
      </c>
      <c r="C22" s="61">
        <f>AVERAGE('regrets 6 probs'!C22, 'regrets 4 probs'!C22)</f>
        <v>0.5</v>
      </c>
      <c r="D22" s="61"/>
      <c r="E22" s="62"/>
      <c r="F22" s="90"/>
      <c r="G22" s="61">
        <f>AVERAGE('regrets 6 probs'!G22, 'regrets 4 probs'!G22)</f>
        <v>0.5</v>
      </c>
      <c r="H22" s="61">
        <f>AVERAGE('regrets 6 probs'!H22, 'regrets 4 probs'!H22)</f>
        <v>0.5</v>
      </c>
      <c r="I22" s="61"/>
      <c r="J22" s="62"/>
      <c r="K22" s="90"/>
      <c r="L22" s="61">
        <f>AVERAGE('regrets 6 probs'!L22, 'regrets 4 probs'!L22)</f>
        <v>0.5</v>
      </c>
      <c r="M22" s="61">
        <f>AVERAGE('regrets 6 probs'!M22, 'regrets 4 probs'!M22)</f>
        <v>0.5</v>
      </c>
      <c r="N22" s="61"/>
      <c r="O22" s="62"/>
      <c r="P22" s="90"/>
      <c r="Q22" s="61">
        <f>AVERAGE('regrets 6 probs'!Q22, 'regrets 4 probs'!Q22)</f>
        <v>0.5</v>
      </c>
      <c r="R22" s="61">
        <f>AVERAGE('regrets 6 probs'!R22, 'regrets 4 probs'!R22)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AVERAGE('regrets 6 probs'!C23, 'regrets 4 probs'!C23)</f>
        <v>0.5</v>
      </c>
      <c r="D23" s="61">
        <f>AVERAGE('regrets 6 probs'!D23, 'regrets 4 probs'!D23)</f>
        <v>0.5</v>
      </c>
      <c r="E23" s="62"/>
      <c r="F23" s="90"/>
      <c r="G23" s="63"/>
      <c r="H23" s="61">
        <f>AVERAGE('regrets 6 probs'!H23, 'regrets 4 probs'!H23)</f>
        <v>0.5</v>
      </c>
      <c r="I23" s="61">
        <f>AVERAGE('regrets 6 probs'!I23, 'regrets 4 probs'!I23)</f>
        <v>0.5</v>
      </c>
      <c r="J23" s="62"/>
      <c r="K23" s="90"/>
      <c r="L23" s="63"/>
      <c r="M23" s="61">
        <f>AVERAGE('regrets 6 probs'!M23, 'regrets 4 probs'!M23)</f>
        <v>0.5</v>
      </c>
      <c r="N23" s="61">
        <f>AVERAGE('regrets 6 probs'!N23, 'regrets 4 probs'!N23)</f>
        <v>0.5</v>
      </c>
      <c r="O23" s="62"/>
      <c r="P23" s="90"/>
      <c r="Q23" s="63"/>
      <c r="R23" s="61">
        <f>AVERAGE('regrets 6 probs'!R23, 'regrets 4 probs'!R23)</f>
        <v>0.5</v>
      </c>
      <c r="S23" s="61">
        <f>AVERAGE('regrets 6 probs'!S23, 'regrets 4 probs'!S23)</f>
        <v>0.5</v>
      </c>
      <c r="T23" s="62"/>
      <c r="U23" s="90"/>
    </row>
    <row r="24" spans="1:21" ht="20" customHeight="1" x14ac:dyDescent="0.15">
      <c r="A24" s="12">
        <v>3</v>
      </c>
      <c r="B24" s="61">
        <f>AVERAGE('regrets 6 probs'!B24, 'regrets 4 probs'!B24)</f>
        <v>0.5</v>
      </c>
      <c r="C24" s="61">
        <f>AVERAGE('regrets 6 probs'!C24, 'regrets 4 probs'!C24)</f>
        <v>0.5</v>
      </c>
      <c r="D24" s="61"/>
      <c r="E24" s="62"/>
      <c r="F24" s="90"/>
      <c r="G24" s="61">
        <f>AVERAGE('regrets 6 probs'!G24, 'regrets 4 probs'!G24)</f>
        <v>0</v>
      </c>
      <c r="H24" s="61">
        <f>AVERAGE('regrets 6 probs'!H24, 'regrets 4 probs'!H24)</f>
        <v>1</v>
      </c>
      <c r="I24" s="61"/>
      <c r="J24" s="62"/>
      <c r="K24" s="90"/>
      <c r="L24" s="61">
        <f>AVERAGE('regrets 6 probs'!L24, 'regrets 4 probs'!L24)</f>
        <v>0.5</v>
      </c>
      <c r="M24" s="61">
        <f>AVERAGE('regrets 6 probs'!M24, 'regrets 4 probs'!M24)</f>
        <v>0.5</v>
      </c>
      <c r="N24" s="61"/>
      <c r="O24" s="62"/>
      <c r="P24" s="90"/>
      <c r="Q24" s="61">
        <f>AVERAGE('regrets 6 probs'!Q24, 'regrets 4 probs'!Q24)</f>
        <v>0.5</v>
      </c>
      <c r="R24" s="61">
        <f>AVERAGE('regrets 6 probs'!R24, 'regrets 4 probs'!R24)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AVERAGE('regrets 6 probs'!C25, 'regrets 4 probs'!C25)</f>
        <v>0.5</v>
      </c>
      <c r="D25" s="61">
        <f>AVERAGE('regrets 6 probs'!D25, 'regrets 4 probs'!D25)</f>
        <v>0.5</v>
      </c>
      <c r="E25" s="62"/>
      <c r="F25" s="90"/>
      <c r="G25" s="63"/>
      <c r="H25" s="61">
        <f>AVERAGE('regrets 6 probs'!H25, 'regrets 4 probs'!H25)</f>
        <v>0.75</v>
      </c>
      <c r="I25" s="61">
        <f>AVERAGE('regrets 6 probs'!I25, 'regrets 4 probs'!I25)</f>
        <v>0.25</v>
      </c>
      <c r="J25" s="62"/>
      <c r="K25" s="90"/>
      <c r="L25" s="63"/>
      <c r="M25" s="61">
        <f>AVERAGE('regrets 6 probs'!M25, 'regrets 4 probs'!M25)</f>
        <v>0.5</v>
      </c>
      <c r="N25" s="61">
        <f>AVERAGE('regrets 6 probs'!N25, 'regrets 4 probs'!N25)</f>
        <v>0.5</v>
      </c>
      <c r="O25" s="62"/>
      <c r="P25" s="90"/>
      <c r="Q25" s="63"/>
      <c r="R25" s="61">
        <f>AVERAGE('regrets 6 probs'!R25, 'regrets 4 probs'!R25)</f>
        <v>0.5</v>
      </c>
      <c r="S25" s="61">
        <f>AVERAGE('regrets 6 probs'!S25, 'regrets 4 probs'!S25)</f>
        <v>0.5</v>
      </c>
      <c r="T25" s="62"/>
      <c r="U25" s="90"/>
    </row>
    <row r="26" spans="1:21" ht="20" customHeight="1" x14ac:dyDescent="0.15">
      <c r="A26" s="12">
        <v>5</v>
      </c>
      <c r="B26" s="61">
        <f>AVERAGE('regrets 6 probs'!B26, 'regrets 4 probs'!B26)</f>
        <v>0.5</v>
      </c>
      <c r="C26" s="61">
        <f>AVERAGE('regrets 6 probs'!C26, 'regrets 4 probs'!C26)</f>
        <v>0.5</v>
      </c>
      <c r="D26" s="61"/>
      <c r="E26" s="62"/>
      <c r="F26" s="90"/>
      <c r="G26" s="61">
        <f>AVERAGE('regrets 6 probs'!G26, 'regrets 4 probs'!G26)</f>
        <v>1</v>
      </c>
      <c r="H26" s="61">
        <f>AVERAGE('regrets 6 probs'!H26, 'regrets 4 probs'!H26)</f>
        <v>0</v>
      </c>
      <c r="I26" s="61"/>
      <c r="J26" s="62"/>
      <c r="K26" s="90"/>
      <c r="L26" s="61">
        <f>AVERAGE('regrets 6 probs'!L26, 'regrets 4 probs'!L26)</f>
        <v>1</v>
      </c>
      <c r="M26" s="61">
        <f>AVERAGE('regrets 6 probs'!M26, 'regrets 4 probs'!M26)</f>
        <v>0</v>
      </c>
      <c r="N26" s="61"/>
      <c r="O26" s="62"/>
      <c r="P26" s="90"/>
      <c r="Q26" s="61">
        <f>AVERAGE('regrets 6 probs'!Q26, 'regrets 4 probs'!Q26)</f>
        <v>0.5</v>
      </c>
      <c r="R26" s="61">
        <f>AVERAGE('regrets 6 probs'!R26, 'regrets 4 probs'!R26)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AVERAGE('regrets 6 probs'!C27, 'regrets 4 probs'!C27)</f>
        <v>0</v>
      </c>
      <c r="D27" s="61">
        <f>AVERAGE('regrets 6 probs'!D27, 'regrets 4 probs'!D27)</f>
        <v>1</v>
      </c>
      <c r="E27" s="62"/>
      <c r="F27" s="90"/>
      <c r="G27" s="63"/>
      <c r="H27" s="61">
        <f>AVERAGE('regrets 6 probs'!H27, 'regrets 4 probs'!H27)</f>
        <v>0.5</v>
      </c>
      <c r="I27" s="61">
        <f>AVERAGE('regrets 6 probs'!I27, 'regrets 4 probs'!I27)</f>
        <v>0.5</v>
      </c>
      <c r="J27" s="62"/>
      <c r="K27" s="90"/>
      <c r="L27" s="63"/>
      <c r="M27" s="61">
        <f>AVERAGE('regrets 6 probs'!M27, 'regrets 4 probs'!M27)</f>
        <v>0.5</v>
      </c>
      <c r="N27" s="61">
        <f>AVERAGE('regrets 6 probs'!N27, 'regrets 4 probs'!N27)</f>
        <v>0.5</v>
      </c>
      <c r="O27" s="62"/>
      <c r="P27" s="90"/>
      <c r="Q27" s="63"/>
      <c r="R27" s="61">
        <f>AVERAGE('regrets 6 probs'!R27, 'regrets 4 probs'!R27)</f>
        <v>0.5</v>
      </c>
      <c r="S27" s="61">
        <f>AVERAGE('regrets 6 probs'!S27, 'regrets 4 probs'!S27)</f>
        <v>0.5</v>
      </c>
      <c r="T27" s="62"/>
      <c r="U27" s="90"/>
    </row>
    <row r="28" spans="1:21" ht="20" customHeight="1" x14ac:dyDescent="0.15">
      <c r="A28" s="12">
        <v>7</v>
      </c>
      <c r="B28" s="61">
        <f>AVERAGE('regrets 6 probs'!B28, 'regrets 4 probs'!B28)</f>
        <v>0.5</v>
      </c>
      <c r="C28" s="61">
        <f>AVERAGE('regrets 6 probs'!C28, 'regrets 4 probs'!C28)</f>
        <v>0.5</v>
      </c>
      <c r="D28" s="61"/>
      <c r="E28" s="62"/>
      <c r="F28" s="90"/>
      <c r="G28" s="61">
        <f>AVERAGE('regrets 6 probs'!G28, 'regrets 4 probs'!G28)</f>
        <v>0.5</v>
      </c>
      <c r="H28" s="61">
        <f>AVERAGE('regrets 6 probs'!H28, 'regrets 4 probs'!H28)</f>
        <v>0.5</v>
      </c>
      <c r="I28" s="61"/>
      <c r="J28" s="62"/>
      <c r="K28" s="90"/>
      <c r="L28" s="61">
        <f>AVERAGE('regrets 6 probs'!L28, 'regrets 4 probs'!L28)</f>
        <v>0.5</v>
      </c>
      <c r="M28" s="61">
        <f>AVERAGE('regrets 6 probs'!M28, 'regrets 4 probs'!M28)</f>
        <v>0.5</v>
      </c>
      <c r="N28" s="61"/>
      <c r="O28" s="62"/>
      <c r="P28" s="90"/>
      <c r="Q28" s="61">
        <f>AVERAGE('regrets 6 probs'!Q28, 'regrets 4 probs'!Q28)</f>
        <v>0.5</v>
      </c>
      <c r="R28" s="61">
        <f>AVERAGE('regrets 6 probs'!R28, 'regrets 4 probs'!R28)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AVERAGE('regrets 6 probs'!C29, 'regrets 4 probs'!C29)</f>
        <v>0.5</v>
      </c>
      <c r="D29" s="61">
        <f>AVERAGE('regrets 6 probs'!D29, 'regrets 4 probs'!D29)</f>
        <v>0.5</v>
      </c>
      <c r="E29" s="62"/>
      <c r="F29" s="90"/>
      <c r="G29" s="63"/>
      <c r="H29" s="61">
        <f>AVERAGE('regrets 6 probs'!H29, 'regrets 4 probs'!H29)</f>
        <v>0.5</v>
      </c>
      <c r="I29" s="61">
        <f>AVERAGE('regrets 6 probs'!I29, 'regrets 4 probs'!I29)</f>
        <v>0.5</v>
      </c>
      <c r="J29" s="62"/>
      <c r="K29" s="90"/>
      <c r="L29" s="63"/>
      <c r="M29" s="61">
        <f>AVERAGE('regrets 6 probs'!M29, 'regrets 4 probs'!M29)</f>
        <v>0.5</v>
      </c>
      <c r="N29" s="61">
        <f>AVERAGE('regrets 6 probs'!N29, 'regrets 4 probs'!N29)</f>
        <v>0.5</v>
      </c>
      <c r="O29" s="62"/>
      <c r="P29" s="90"/>
      <c r="Q29" s="63"/>
      <c r="R29" s="61">
        <f>AVERAGE('regrets 6 probs'!R29, 'regrets 4 probs'!R29)</f>
        <v>0.75</v>
      </c>
      <c r="S29" s="61">
        <f>AVERAGE('regrets 6 probs'!S29, 'regrets 4 probs'!S29)</f>
        <v>0.25</v>
      </c>
      <c r="T29" s="62"/>
      <c r="U29" s="90"/>
    </row>
    <row r="30" spans="1:21" ht="20" customHeight="1" x14ac:dyDescent="0.15">
      <c r="A30" s="12">
        <v>9</v>
      </c>
      <c r="B30" s="61">
        <f>AVERAGE('regrets 6 probs'!B30, 'regrets 4 probs'!B30)</f>
        <v>0.5</v>
      </c>
      <c r="C30" s="61">
        <f>AVERAGE('regrets 6 probs'!C30, 'regrets 4 probs'!C30)</f>
        <v>0.5</v>
      </c>
      <c r="D30" s="61"/>
      <c r="E30" s="62"/>
      <c r="F30" s="90"/>
      <c r="G30" s="61">
        <f>AVERAGE('regrets 6 probs'!G30, 'regrets 4 probs'!G30)</f>
        <v>0.5</v>
      </c>
      <c r="H30" s="61">
        <f>AVERAGE('regrets 6 probs'!H30, 'regrets 4 probs'!H30)</f>
        <v>0.5</v>
      </c>
      <c r="I30" s="61"/>
      <c r="J30" s="62"/>
      <c r="K30" s="90"/>
      <c r="L30" s="61">
        <f>AVERAGE('regrets 6 probs'!L30, 'regrets 4 probs'!L30)</f>
        <v>0.5</v>
      </c>
      <c r="M30" s="61">
        <f>AVERAGE('regrets 6 probs'!M30, 'regrets 4 probs'!M30)</f>
        <v>0.5</v>
      </c>
      <c r="N30" s="61"/>
      <c r="O30" s="62"/>
      <c r="P30" s="90"/>
      <c r="Q30" s="61">
        <f>AVERAGE('regrets 6 probs'!Q30, 'regrets 4 probs'!Q30)</f>
        <v>0.5</v>
      </c>
      <c r="R30" s="61">
        <f>AVERAGE('regrets 6 probs'!R30, 'regrets 4 probs'!R30)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AVERAGE('regrets 6 probs'!B31, 'regrets 4 probs'!B31)</f>
        <v>0.75</v>
      </c>
      <c r="C31" s="61">
        <f>AVERAGE('regrets 6 probs'!C31, 'regrets 4 probs'!C31)</f>
        <v>0.25</v>
      </c>
      <c r="D31" s="61"/>
      <c r="E31" s="62"/>
      <c r="F31" s="90"/>
      <c r="G31" s="61">
        <f>AVERAGE('regrets 6 probs'!G31, 'regrets 4 probs'!G31)</f>
        <v>0.5</v>
      </c>
      <c r="H31" s="61">
        <f>AVERAGE('regrets 6 probs'!H31, 'regrets 4 probs'!H31)</f>
        <v>0.5</v>
      </c>
      <c r="I31" s="61"/>
      <c r="J31" s="62"/>
      <c r="K31" s="90"/>
      <c r="L31" s="61">
        <f>AVERAGE('regrets 6 probs'!L31, 'regrets 4 probs'!L31)</f>
        <v>0.5</v>
      </c>
      <c r="M31" s="61">
        <f>AVERAGE('regrets 6 probs'!M31, 'regrets 4 probs'!M31)</f>
        <v>0.5</v>
      </c>
      <c r="N31" s="61"/>
      <c r="O31" s="62"/>
      <c r="P31" s="90"/>
      <c r="Q31" s="61">
        <f>AVERAGE('regrets 6 probs'!Q31, 'regrets 4 probs'!Q31)</f>
        <v>0.5</v>
      </c>
      <c r="R31" s="61">
        <f>AVERAGE('regrets 6 probs'!R31, 'regrets 4 probs'!R31)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AVERAGE('regrets 6 probs'!B32, 'regrets 4 probs'!B32)</f>
        <v>0.5</v>
      </c>
      <c r="C32" s="61">
        <f>AVERAGE('regrets 6 probs'!C32, 'regrets 4 probs'!C32)</f>
        <v>0.5</v>
      </c>
      <c r="D32" s="61"/>
      <c r="E32" s="62"/>
      <c r="F32" s="90"/>
      <c r="G32" s="61">
        <f>AVERAGE('regrets 6 probs'!G32, 'regrets 4 probs'!G32)</f>
        <v>0.5</v>
      </c>
      <c r="H32" s="61">
        <f>AVERAGE('regrets 6 probs'!H32, 'regrets 4 probs'!H32)</f>
        <v>0.5</v>
      </c>
      <c r="I32" s="61"/>
      <c r="J32" s="62"/>
      <c r="K32" s="90"/>
      <c r="L32" s="61">
        <f>AVERAGE('regrets 6 probs'!L32, 'regrets 4 probs'!L32)</f>
        <v>0.5</v>
      </c>
      <c r="M32" s="61">
        <f>AVERAGE('regrets 6 probs'!M32, 'regrets 4 probs'!M32)</f>
        <v>0.5</v>
      </c>
      <c r="N32" s="61"/>
      <c r="O32" s="62"/>
      <c r="P32" s="90"/>
      <c r="Q32" s="61">
        <f>AVERAGE('regrets 6 probs'!Q32, 'regrets 4 probs'!Q32)</f>
        <v>0.5</v>
      </c>
      <c r="R32" s="61">
        <f>AVERAGE('regrets 6 probs'!R32, 'regrets 4 probs'!R32)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AVERAGE('regrets 6 probs'!C33, 'regrets 4 probs'!C33)</f>
        <v>0.5</v>
      </c>
      <c r="D33" s="61">
        <f>AVERAGE('regrets 6 probs'!D33, 'regrets 4 probs'!D33)</f>
        <v>0.5</v>
      </c>
      <c r="E33" s="62"/>
      <c r="F33" s="90"/>
      <c r="G33" s="63"/>
      <c r="H33" s="61">
        <f>AVERAGE('regrets 6 probs'!H33, 'regrets 4 probs'!H33)</f>
        <v>0.5</v>
      </c>
      <c r="I33" s="61">
        <f>AVERAGE('regrets 6 probs'!I33, 'regrets 4 probs'!I33)</f>
        <v>0.5</v>
      </c>
      <c r="J33" s="62"/>
      <c r="K33" s="90"/>
      <c r="L33" s="63"/>
      <c r="M33" s="61">
        <f>AVERAGE('regrets 6 probs'!M33, 'regrets 4 probs'!M33)</f>
        <v>0.5</v>
      </c>
      <c r="N33" s="61">
        <f>AVERAGE('regrets 6 probs'!N33, 'regrets 4 probs'!N33)</f>
        <v>0.5</v>
      </c>
      <c r="O33" s="62"/>
      <c r="P33" s="90"/>
      <c r="Q33" s="63"/>
      <c r="R33" s="61">
        <f>AVERAGE('regrets 6 probs'!R33, 'regrets 4 probs'!R33)</f>
        <v>0.5</v>
      </c>
      <c r="S33" s="61">
        <f>AVERAGE('regrets 6 probs'!S33, 'regrets 4 probs'!S33)</f>
        <v>0.5</v>
      </c>
      <c r="T33" s="62"/>
      <c r="U33" s="90"/>
    </row>
    <row r="34" spans="1:21" ht="20" customHeight="1" x14ac:dyDescent="0.15">
      <c r="A34" s="12">
        <v>13</v>
      </c>
      <c r="B34" s="61">
        <f>AVERAGE('regrets 6 probs'!B34, 'regrets 4 probs'!B34)</f>
        <v>0.5</v>
      </c>
      <c r="C34" s="61">
        <f>AVERAGE('regrets 6 probs'!C34, 'regrets 4 probs'!C34)</f>
        <v>0.5</v>
      </c>
      <c r="D34" s="61"/>
      <c r="E34" s="62"/>
      <c r="F34" s="90"/>
      <c r="G34" s="61">
        <f>AVERAGE('regrets 6 probs'!G34, 'regrets 4 probs'!G34)</f>
        <v>0.5</v>
      </c>
      <c r="H34" s="61">
        <f>AVERAGE('regrets 6 probs'!H34, 'regrets 4 probs'!H34)</f>
        <v>0.5</v>
      </c>
      <c r="I34" s="61"/>
      <c r="J34" s="62"/>
      <c r="K34" s="90"/>
      <c r="L34" s="61">
        <f>AVERAGE('regrets 6 probs'!L34, 'regrets 4 probs'!L34)</f>
        <v>0.5</v>
      </c>
      <c r="M34" s="61">
        <f>AVERAGE('regrets 6 probs'!M34, 'regrets 4 probs'!M34)</f>
        <v>0.5</v>
      </c>
      <c r="N34" s="61"/>
      <c r="O34" s="62"/>
      <c r="P34" s="90"/>
      <c r="Q34" s="61">
        <f>AVERAGE('regrets 6 probs'!Q34, 'regrets 4 probs'!Q34)</f>
        <v>0.5</v>
      </c>
      <c r="R34" s="61">
        <f>AVERAGE('regrets 6 probs'!R34, 'regrets 4 probs'!R34)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AVERAGE('regrets 6 probs'!B35, 'regrets 4 probs'!B35)</f>
        <v>0.5</v>
      </c>
      <c r="C35" s="61">
        <f>AVERAGE('regrets 6 probs'!C35, 'regrets 4 probs'!C35)</f>
        <v>0.5</v>
      </c>
      <c r="D35" s="61"/>
      <c r="E35" s="62"/>
      <c r="F35" s="90"/>
      <c r="G35" s="61">
        <f>AVERAGE('regrets 6 probs'!G35, 'regrets 4 probs'!G35)</f>
        <v>0.5</v>
      </c>
      <c r="H35" s="61">
        <f>AVERAGE('regrets 6 probs'!H35, 'regrets 4 probs'!H35)</f>
        <v>0.5</v>
      </c>
      <c r="I35" s="61"/>
      <c r="J35" s="62"/>
      <c r="K35" s="90"/>
      <c r="L35" s="61">
        <f>AVERAGE('regrets 6 probs'!L35, 'regrets 4 probs'!L35)</f>
        <v>0.5</v>
      </c>
      <c r="M35" s="61">
        <f>AVERAGE('regrets 6 probs'!M35, 'regrets 4 probs'!M35)</f>
        <v>0.5</v>
      </c>
      <c r="N35" s="61"/>
      <c r="O35" s="62"/>
      <c r="P35" s="90"/>
      <c r="Q35" s="61">
        <f>AVERAGE('regrets 6 probs'!Q35, 'regrets 4 probs'!Q35)</f>
        <v>0.75</v>
      </c>
      <c r="R35" s="61">
        <f>AVERAGE('regrets 6 probs'!R35, 'regrets 4 probs'!R35)</f>
        <v>0.25</v>
      </c>
      <c r="S35" s="61"/>
      <c r="T35" s="62"/>
      <c r="U35" s="90"/>
    </row>
    <row r="36" spans="1:21" ht="20" customHeight="1" x14ac:dyDescent="0.15">
      <c r="A36" s="12">
        <v>15</v>
      </c>
      <c r="B36" s="61">
        <f>AVERAGE('regrets 6 probs'!B36, 'regrets 4 probs'!B36)</f>
        <v>0.5</v>
      </c>
      <c r="C36" s="61">
        <f>AVERAGE('regrets 6 probs'!C36, 'regrets 4 probs'!C36)</f>
        <v>0.5</v>
      </c>
      <c r="D36" s="61"/>
      <c r="E36" s="62"/>
      <c r="F36" s="90"/>
      <c r="G36" s="61">
        <f>AVERAGE('regrets 6 probs'!G36, 'regrets 4 probs'!G36)</f>
        <v>0.5</v>
      </c>
      <c r="H36" s="61">
        <f>AVERAGE('regrets 6 probs'!H36, 'regrets 4 probs'!H36)</f>
        <v>0.5</v>
      </c>
      <c r="I36" s="61"/>
      <c r="J36" s="62"/>
      <c r="K36" s="90"/>
      <c r="L36" s="61">
        <f>AVERAGE('regrets 6 probs'!L36, 'regrets 4 probs'!L36)</f>
        <v>0.5</v>
      </c>
      <c r="M36" s="61">
        <f>AVERAGE('regrets 6 probs'!M36, 'regrets 4 probs'!M36)</f>
        <v>0.5</v>
      </c>
      <c r="N36" s="61"/>
      <c r="O36" s="62"/>
      <c r="P36" s="90"/>
      <c r="Q36" s="61">
        <f>AVERAGE('regrets 6 probs'!Q36, 'regrets 4 probs'!Q36)</f>
        <v>0.5</v>
      </c>
      <c r="R36" s="61">
        <f>AVERAGE('regrets 6 probs'!R36, 'regrets 4 probs'!R36)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AVERAGE('regrets 6 probs'!C37, 'regrets 4 probs'!C37)</f>
        <v>0.5</v>
      </c>
      <c r="D37" s="61">
        <f>AVERAGE('regrets 6 probs'!D37, 'regrets 4 probs'!D37)</f>
        <v>0.5</v>
      </c>
      <c r="E37" s="62"/>
      <c r="F37" s="90"/>
      <c r="G37" s="63"/>
      <c r="H37" s="61">
        <f>AVERAGE('regrets 6 probs'!H37, 'regrets 4 probs'!H37)</f>
        <v>0.5</v>
      </c>
      <c r="I37" s="61">
        <f>AVERAGE('regrets 6 probs'!I37, 'regrets 4 probs'!I37)</f>
        <v>0.5</v>
      </c>
      <c r="J37" s="62"/>
      <c r="K37" s="90"/>
      <c r="L37" s="63"/>
      <c r="M37" s="61">
        <f>AVERAGE('regrets 6 probs'!M37, 'regrets 4 probs'!M37)</f>
        <v>0.5</v>
      </c>
      <c r="N37" s="61">
        <f>AVERAGE('regrets 6 probs'!N37, 'regrets 4 probs'!N37)</f>
        <v>0.5</v>
      </c>
      <c r="O37" s="62"/>
      <c r="P37" s="90"/>
      <c r="Q37" s="63"/>
      <c r="R37" s="61">
        <f>AVERAGE('regrets 6 probs'!R37, 'regrets 4 probs'!R37)</f>
        <v>0.5</v>
      </c>
      <c r="S37" s="61">
        <f>AVERAGE('regrets 6 probs'!S37, 'regrets 4 probs'!S37)</f>
        <v>0.5</v>
      </c>
      <c r="T37" s="62"/>
      <c r="U37" s="90"/>
    </row>
    <row r="38" spans="1:21" ht="20" customHeight="1" x14ac:dyDescent="0.15">
      <c r="A38" s="12">
        <v>17</v>
      </c>
      <c r="B38" s="61">
        <f>AVERAGE('regrets 6 probs'!B38, 'regrets 4 probs'!B38)</f>
        <v>0.5</v>
      </c>
      <c r="C38" s="61">
        <f>AVERAGE('regrets 6 probs'!C38, 'regrets 4 probs'!C38)</f>
        <v>0.5</v>
      </c>
      <c r="D38" s="61"/>
      <c r="E38" s="62"/>
      <c r="F38" s="90"/>
      <c r="G38" s="61">
        <f>AVERAGE('regrets 6 probs'!G38, 'regrets 4 probs'!G38)</f>
        <v>0.5</v>
      </c>
      <c r="H38" s="61">
        <f>AVERAGE('regrets 6 probs'!H38, 'regrets 4 probs'!H38)</f>
        <v>0.5</v>
      </c>
      <c r="I38" s="61"/>
      <c r="J38" s="62"/>
      <c r="K38" s="90"/>
      <c r="L38" s="61">
        <f>AVERAGE('regrets 6 probs'!L38, 'regrets 4 probs'!L38)</f>
        <v>0.5</v>
      </c>
      <c r="M38" s="61">
        <f>AVERAGE('regrets 6 probs'!M38, 'regrets 4 probs'!M38)</f>
        <v>0.5</v>
      </c>
      <c r="N38" s="61"/>
      <c r="O38" s="62"/>
      <c r="P38" s="90"/>
      <c r="Q38" s="61">
        <f>AVERAGE('regrets 6 probs'!Q38, 'regrets 4 probs'!Q38)</f>
        <v>0.5</v>
      </c>
      <c r="R38" s="61">
        <f>AVERAGE('regrets 6 probs'!R38, 'regrets 4 probs'!R38)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AVERAGE('regrets 6 probs'!B39, 'regrets 4 probs'!B39)</f>
        <v>0.5</v>
      </c>
      <c r="C39" s="61">
        <f>AVERAGE('regrets 6 probs'!C39, 'regrets 4 probs'!C39)</f>
        <v>0.5</v>
      </c>
      <c r="D39" s="61"/>
      <c r="E39" s="62"/>
      <c r="F39" s="90"/>
      <c r="G39" s="61">
        <f>AVERAGE('regrets 6 probs'!G39, 'regrets 4 probs'!G39)</f>
        <v>0.5</v>
      </c>
      <c r="H39" s="61">
        <f>AVERAGE('regrets 6 probs'!H39, 'regrets 4 probs'!H39)</f>
        <v>0.5</v>
      </c>
      <c r="I39" s="61"/>
      <c r="J39" s="62"/>
      <c r="K39" s="90"/>
      <c r="L39" s="61">
        <f>AVERAGE('regrets 6 probs'!L39, 'regrets 4 probs'!L39)</f>
        <v>0.5</v>
      </c>
      <c r="M39" s="61">
        <f>AVERAGE('regrets 6 probs'!M39, 'regrets 4 probs'!M39)</f>
        <v>0.5</v>
      </c>
      <c r="N39" s="61"/>
      <c r="O39" s="62"/>
      <c r="P39" s="90"/>
      <c r="Q39" s="61">
        <f>AVERAGE('regrets 6 probs'!Q39, 'regrets 4 probs'!Q39)</f>
        <v>0.5</v>
      </c>
      <c r="R39" s="61">
        <f>AVERAGE('regrets 6 probs'!R39, 'regrets 4 probs'!R39)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AVERAGE('regrets 6 probs'!B40, 'regrets 4 probs'!B40)</f>
        <v>0.5</v>
      </c>
      <c r="C40" s="61">
        <f>AVERAGE('regrets 6 probs'!C40, 'regrets 4 probs'!C40)</f>
        <v>0.5</v>
      </c>
      <c r="D40" s="83"/>
      <c r="E40" s="75"/>
      <c r="F40" s="94"/>
      <c r="G40" s="61">
        <f>AVERAGE('regrets 6 probs'!G40, 'regrets 4 probs'!G40)</f>
        <v>0.5</v>
      </c>
      <c r="H40" s="61">
        <f>AVERAGE('regrets 6 probs'!H40, 'regrets 4 probs'!H40)</f>
        <v>0.5</v>
      </c>
      <c r="I40" s="83"/>
      <c r="J40" s="75"/>
      <c r="K40" s="94"/>
      <c r="L40" s="61">
        <f>AVERAGE('regrets 6 probs'!L40, 'regrets 4 probs'!L40)</f>
        <v>0.5</v>
      </c>
      <c r="M40" s="61">
        <f>AVERAGE('regrets 6 probs'!M40, 'regrets 4 probs'!M40)</f>
        <v>0.5</v>
      </c>
      <c r="N40" s="83"/>
      <c r="O40" s="75"/>
      <c r="P40" s="94"/>
      <c r="Q40" s="61">
        <f>AVERAGE('regrets 6 probs'!Q40, 'regrets 4 probs'!Q40)</f>
        <v>0.5</v>
      </c>
      <c r="R40" s="61">
        <f>AVERAGE('regrets 6 probs'!R40, 'regrets 4 probs'!R40)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AVERAGE('regrets 6 probs'!C41, 'regrets 4 probs'!C41)</f>
        <v>0.33333333333333331</v>
      </c>
      <c r="D41" s="68">
        <f>AVERAGE('regrets 6 probs'!D41, 'regrets 4 probs'!D41)</f>
        <v>0.33333333333333331</v>
      </c>
      <c r="E41" s="68">
        <f>AVERAGE('regrets 6 probs'!E41, 'regrets 4 probs'!E41)</f>
        <v>0.33333333333333331</v>
      </c>
      <c r="F41" s="86"/>
      <c r="G41" s="85"/>
      <c r="H41" s="68">
        <f>AVERAGE('regrets 6 probs'!H41, 'regrets 4 probs'!H41)</f>
        <v>0.33333333333333331</v>
      </c>
      <c r="I41" s="68">
        <f>AVERAGE('regrets 6 probs'!I41, 'regrets 4 probs'!I41)</f>
        <v>0.33333333333333331</v>
      </c>
      <c r="J41" s="68">
        <f>AVERAGE('regrets 6 probs'!J41, 'regrets 4 probs'!J41)</f>
        <v>0.33333333333333331</v>
      </c>
      <c r="K41" s="86"/>
      <c r="L41" s="85"/>
      <c r="M41" s="68">
        <f>AVERAGE('regrets 6 probs'!M41, 'regrets 4 probs'!M41)</f>
        <v>0.33333333333333331</v>
      </c>
      <c r="N41" s="68">
        <f>AVERAGE('regrets 6 probs'!N41, 'regrets 4 probs'!N41)</f>
        <v>0.33333333333333331</v>
      </c>
      <c r="O41" s="68">
        <f>AVERAGE('regrets 6 probs'!O41, 'regrets 4 probs'!O41)</f>
        <v>0.33333333333333331</v>
      </c>
      <c r="P41" s="86"/>
      <c r="Q41" s="85"/>
      <c r="R41" s="68">
        <f>AVERAGE('regrets 6 probs'!R41, 'regrets 4 probs'!R41)</f>
        <v>0.33333333333333331</v>
      </c>
      <c r="S41" s="68">
        <f>AVERAGE('regrets 6 probs'!S41, 'regrets 4 probs'!S41)</f>
        <v>0.33333333333333331</v>
      </c>
      <c r="T41" s="68">
        <f>AVERAGE('regrets 6 probs'!T41, 'regrets 4 probs'!T41)</f>
        <v>0.33333333333333331</v>
      </c>
      <c r="U41" s="86"/>
    </row>
    <row r="42" spans="1:21" ht="20" customHeight="1" x14ac:dyDescent="0.15">
      <c r="A42" s="12">
        <v>1</v>
      </c>
      <c r="B42" s="61">
        <f>AVERAGE('regrets 6 probs'!B42, 'regrets 4 probs'!B42)</f>
        <v>0.5</v>
      </c>
      <c r="C42" s="61">
        <f>AVERAGE('regrets 6 probs'!C42, 'regrets 4 probs'!C42)</f>
        <v>0.5</v>
      </c>
      <c r="D42" s="61"/>
      <c r="E42" s="61"/>
      <c r="F42" s="90"/>
      <c r="G42" s="61">
        <f>AVERAGE('regrets 6 probs'!G42, 'regrets 4 probs'!G42)</f>
        <v>0.5</v>
      </c>
      <c r="H42" s="61">
        <f>AVERAGE('regrets 6 probs'!H42, 'regrets 4 probs'!H42)</f>
        <v>0.5</v>
      </c>
      <c r="I42" s="61"/>
      <c r="J42" s="61"/>
      <c r="K42" s="90"/>
      <c r="L42" s="61">
        <f>AVERAGE('regrets 6 probs'!L42, 'regrets 4 probs'!L42)</f>
        <v>0.5</v>
      </c>
      <c r="M42" s="61">
        <f>AVERAGE('regrets 6 probs'!M42, 'regrets 4 probs'!M42)</f>
        <v>0.5</v>
      </c>
      <c r="N42" s="61"/>
      <c r="O42" s="61"/>
      <c r="P42" s="90"/>
      <c r="Q42" s="61">
        <f>AVERAGE('regrets 6 probs'!Q42, 'regrets 4 probs'!Q42)</f>
        <v>0.5</v>
      </c>
      <c r="R42" s="61">
        <f>AVERAGE('regrets 6 probs'!R42, 'regrets 4 probs'!R42)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AVERAGE('regrets 6 probs'!C43, 'regrets 4 probs'!C43)</f>
        <v>0.33333333333333331</v>
      </c>
      <c r="D43" s="61">
        <f>AVERAGE('regrets 6 probs'!D43, 'regrets 4 probs'!D43)</f>
        <v>0.33333333333333331</v>
      </c>
      <c r="E43" s="61">
        <f>AVERAGE('regrets 6 probs'!E43, 'regrets 4 probs'!E43)</f>
        <v>0.33333333333333331</v>
      </c>
      <c r="F43" s="90"/>
      <c r="G43" s="63"/>
      <c r="H43" s="61">
        <f>AVERAGE('regrets 6 probs'!H43, 'regrets 4 probs'!H43)</f>
        <v>0.33333333333333331</v>
      </c>
      <c r="I43" s="61">
        <f>AVERAGE('regrets 6 probs'!I43, 'regrets 4 probs'!I43)</f>
        <v>0.33333333333333331</v>
      </c>
      <c r="J43" s="61">
        <f>AVERAGE('regrets 6 probs'!J43, 'regrets 4 probs'!J43)</f>
        <v>0.33333333333333331</v>
      </c>
      <c r="K43" s="90"/>
      <c r="L43" s="63"/>
      <c r="M43" s="61">
        <f>AVERAGE('regrets 6 probs'!M43, 'regrets 4 probs'!M43)</f>
        <v>0.33333333333333331</v>
      </c>
      <c r="N43" s="61">
        <f>AVERAGE('regrets 6 probs'!N43, 'regrets 4 probs'!N43)</f>
        <v>0.33333333333333331</v>
      </c>
      <c r="O43" s="61">
        <f>AVERAGE('regrets 6 probs'!O43, 'regrets 4 probs'!O43)</f>
        <v>0.33333333333333331</v>
      </c>
      <c r="P43" s="90"/>
      <c r="Q43" s="63"/>
      <c r="R43" s="61">
        <f>AVERAGE('regrets 6 probs'!R43, 'regrets 4 probs'!R43)</f>
        <v>0.33333333333333331</v>
      </c>
      <c r="S43" s="61">
        <f>AVERAGE('regrets 6 probs'!S43, 'regrets 4 probs'!S43)</f>
        <v>0.33333333333333331</v>
      </c>
      <c r="T43" s="61">
        <f>AVERAGE('regrets 6 probs'!T43, 'regrets 4 probs'!T43)</f>
        <v>0.33333333333333331</v>
      </c>
      <c r="U43" s="90"/>
    </row>
    <row r="44" spans="1:21" ht="20" customHeight="1" x14ac:dyDescent="0.15">
      <c r="A44" s="12">
        <v>3</v>
      </c>
      <c r="B44" s="61">
        <f>AVERAGE('regrets 6 probs'!B44, 'regrets 4 probs'!B44)</f>
        <v>0.5</v>
      </c>
      <c r="C44" s="61">
        <f>AVERAGE('regrets 6 probs'!C44, 'regrets 4 probs'!C44)</f>
        <v>0.5</v>
      </c>
      <c r="D44" s="61"/>
      <c r="E44" s="61"/>
      <c r="F44" s="90"/>
      <c r="G44" s="61">
        <f>AVERAGE('regrets 6 probs'!G44, 'regrets 4 probs'!G44)</f>
        <v>0.5</v>
      </c>
      <c r="H44" s="61">
        <f>AVERAGE('regrets 6 probs'!H44, 'regrets 4 probs'!H44)</f>
        <v>0.5</v>
      </c>
      <c r="I44" s="61"/>
      <c r="J44" s="61"/>
      <c r="K44" s="90"/>
      <c r="L44" s="61">
        <f>AVERAGE('regrets 6 probs'!L44, 'regrets 4 probs'!L44)</f>
        <v>0.5</v>
      </c>
      <c r="M44" s="61">
        <f>AVERAGE('regrets 6 probs'!M44, 'regrets 4 probs'!M44)</f>
        <v>0.5</v>
      </c>
      <c r="N44" s="61"/>
      <c r="O44" s="61"/>
      <c r="P44" s="90"/>
      <c r="Q44" s="61">
        <f>AVERAGE('regrets 6 probs'!Q44, 'regrets 4 probs'!Q44)</f>
        <v>0.5</v>
      </c>
      <c r="R44" s="61">
        <f>AVERAGE('regrets 6 probs'!R44, 'regrets 4 probs'!R44)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AVERAGE('regrets 6 probs'!B45, 'regrets 4 probs'!B45)</f>
        <v>0.33333333333333331</v>
      </c>
      <c r="C45" s="61">
        <f>AVERAGE('regrets 6 probs'!C45, 'regrets 4 probs'!C45)</f>
        <v>0.33333333333333331</v>
      </c>
      <c r="D45" s="61">
        <f>AVERAGE('regrets 6 probs'!D45, 'regrets 4 probs'!D45)</f>
        <v>0.33333333333333331</v>
      </c>
      <c r="E45" s="61"/>
      <c r="F45" s="90"/>
      <c r="G45" s="61">
        <f>AVERAGE('regrets 6 probs'!G45, 'regrets 4 probs'!G45)</f>
        <v>0.33333333333333331</v>
      </c>
      <c r="H45" s="61">
        <f>AVERAGE('regrets 6 probs'!H45, 'regrets 4 probs'!H45)</f>
        <v>0.33333333333333331</v>
      </c>
      <c r="I45" s="61">
        <f>AVERAGE('regrets 6 probs'!I45, 'regrets 4 probs'!I45)</f>
        <v>0.33333333333333331</v>
      </c>
      <c r="J45" s="61"/>
      <c r="K45" s="90"/>
      <c r="L45" s="61">
        <f>AVERAGE('regrets 6 probs'!L45, 'regrets 4 probs'!L45)</f>
        <v>0.33333333333333331</v>
      </c>
      <c r="M45" s="61">
        <f>AVERAGE('regrets 6 probs'!M45, 'regrets 4 probs'!M45)</f>
        <v>0.33333333333333331</v>
      </c>
      <c r="N45" s="61">
        <f>AVERAGE('regrets 6 probs'!N45, 'regrets 4 probs'!N45)</f>
        <v>0.33333333333333331</v>
      </c>
      <c r="O45" s="61"/>
      <c r="P45" s="90"/>
      <c r="Q45" s="61">
        <f>AVERAGE('regrets 6 probs'!Q45, 'regrets 4 probs'!Q45)</f>
        <v>0.33333333333333331</v>
      </c>
      <c r="R45" s="61">
        <f>AVERAGE('regrets 6 probs'!R45, 'regrets 4 probs'!R45)</f>
        <v>0.33333333333333331</v>
      </c>
      <c r="S45" s="61">
        <f>AVERAGE('regrets 6 probs'!S45, 'regrets 4 probs'!S45)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AVERAGE('regrets 6 probs'!B46, 'regrets 4 probs'!B46)</f>
        <v>0.5</v>
      </c>
      <c r="C46" s="61">
        <f>AVERAGE('regrets 6 probs'!C46, 'regrets 4 probs'!C46)</f>
        <v>0.5</v>
      </c>
      <c r="D46" s="61"/>
      <c r="E46" s="61"/>
      <c r="F46" s="90"/>
      <c r="G46" s="61">
        <f>AVERAGE('regrets 6 probs'!G46, 'regrets 4 probs'!G46)</f>
        <v>0.5</v>
      </c>
      <c r="H46" s="61">
        <f>AVERAGE('regrets 6 probs'!H46, 'regrets 4 probs'!H46)</f>
        <v>0.5</v>
      </c>
      <c r="I46" s="61"/>
      <c r="J46" s="61"/>
      <c r="K46" s="90"/>
      <c r="L46" s="61">
        <f>AVERAGE('regrets 6 probs'!L46, 'regrets 4 probs'!L46)</f>
        <v>0.5</v>
      </c>
      <c r="M46" s="61">
        <f>AVERAGE('regrets 6 probs'!M46, 'regrets 4 probs'!M46)</f>
        <v>0.5</v>
      </c>
      <c r="N46" s="61"/>
      <c r="O46" s="61"/>
      <c r="P46" s="90"/>
      <c r="Q46" s="61">
        <f>AVERAGE('regrets 6 probs'!Q46, 'regrets 4 probs'!Q46)</f>
        <v>0.5</v>
      </c>
      <c r="R46" s="61">
        <f>AVERAGE('regrets 6 probs'!R46, 'regrets 4 probs'!R46)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AVERAGE('regrets 6 probs'!B47, 'regrets 4 probs'!B47)</f>
        <v>0.33333333333333331</v>
      </c>
      <c r="C47" s="61">
        <f>AVERAGE('regrets 6 probs'!C47, 'regrets 4 probs'!C47)</f>
        <v>0.33333333333333331</v>
      </c>
      <c r="D47" s="61">
        <f>AVERAGE('regrets 6 probs'!D47, 'regrets 4 probs'!D47)</f>
        <v>0.33333333333333331</v>
      </c>
      <c r="E47" s="61"/>
      <c r="F47" s="90"/>
      <c r="G47" s="61">
        <f>AVERAGE('regrets 6 probs'!G47, 'regrets 4 probs'!G47)</f>
        <v>0.33333333333333331</v>
      </c>
      <c r="H47" s="61">
        <f>AVERAGE('regrets 6 probs'!H47, 'regrets 4 probs'!H47)</f>
        <v>0.33333333333333331</v>
      </c>
      <c r="I47" s="61">
        <f>AVERAGE('regrets 6 probs'!I47, 'regrets 4 probs'!I47)</f>
        <v>0.33333333333333331</v>
      </c>
      <c r="J47" s="61"/>
      <c r="K47" s="90"/>
      <c r="L47" s="61">
        <f>AVERAGE('regrets 6 probs'!L47, 'regrets 4 probs'!L47)</f>
        <v>0.33333333333333331</v>
      </c>
      <c r="M47" s="61">
        <f>AVERAGE('regrets 6 probs'!M47, 'regrets 4 probs'!M47)</f>
        <v>0.33333333333333331</v>
      </c>
      <c r="N47" s="61">
        <f>AVERAGE('regrets 6 probs'!N47, 'regrets 4 probs'!N47)</f>
        <v>0.33333333333333331</v>
      </c>
      <c r="O47" s="61"/>
      <c r="P47" s="90"/>
      <c r="Q47" s="61">
        <f>AVERAGE('regrets 6 probs'!Q47, 'regrets 4 probs'!Q47)</f>
        <v>0.33333333333333331</v>
      </c>
      <c r="R47" s="61">
        <f>AVERAGE('regrets 6 probs'!R47, 'regrets 4 probs'!R47)</f>
        <v>0.33333333333333331</v>
      </c>
      <c r="S47" s="61">
        <f>AVERAGE('regrets 6 probs'!S47, 'regrets 4 probs'!S47)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AVERAGE('regrets 6 probs'!B48, 'regrets 4 probs'!B48)</f>
        <v>0.5</v>
      </c>
      <c r="C48" s="61">
        <f>AVERAGE('regrets 6 probs'!C48, 'regrets 4 probs'!C48)</f>
        <v>0.5</v>
      </c>
      <c r="D48" s="61"/>
      <c r="E48" s="61"/>
      <c r="F48" s="90"/>
      <c r="G48" s="61">
        <f>AVERAGE('regrets 6 probs'!G48, 'regrets 4 probs'!G48)</f>
        <v>0.5</v>
      </c>
      <c r="H48" s="61">
        <f>AVERAGE('regrets 6 probs'!H48, 'regrets 4 probs'!H48)</f>
        <v>0.5</v>
      </c>
      <c r="I48" s="61"/>
      <c r="J48" s="61"/>
      <c r="K48" s="90"/>
      <c r="L48" s="61">
        <f>AVERAGE('regrets 6 probs'!L48, 'regrets 4 probs'!L48)</f>
        <v>0.5</v>
      </c>
      <c r="M48" s="61">
        <f>AVERAGE('regrets 6 probs'!M48, 'regrets 4 probs'!M48)</f>
        <v>0.5</v>
      </c>
      <c r="N48" s="61"/>
      <c r="O48" s="61"/>
      <c r="P48" s="90"/>
      <c r="Q48" s="61">
        <f>AVERAGE('regrets 6 probs'!Q48, 'regrets 4 probs'!Q48)</f>
        <v>0.5</v>
      </c>
      <c r="R48" s="61">
        <f>AVERAGE('regrets 6 probs'!R48, 'regrets 4 probs'!R48)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AVERAGE('regrets 6 probs'!C49, 'regrets 4 probs'!C49)</f>
        <v>0.33333333333333331</v>
      </c>
      <c r="D49" s="61">
        <f>AVERAGE('regrets 6 probs'!D49, 'regrets 4 probs'!D49)</f>
        <v>0.33333333333333331</v>
      </c>
      <c r="E49" s="61">
        <f>AVERAGE('regrets 6 probs'!E49, 'regrets 4 probs'!E49)</f>
        <v>0.33333333333333331</v>
      </c>
      <c r="F49" s="90"/>
      <c r="G49" s="63"/>
      <c r="H49" s="61">
        <f>AVERAGE('regrets 6 probs'!H49, 'regrets 4 probs'!H49)</f>
        <v>0.16666666666666666</v>
      </c>
      <c r="I49" s="61">
        <f>AVERAGE('regrets 6 probs'!I49, 'regrets 4 probs'!I49)</f>
        <v>0.43610074626865669</v>
      </c>
      <c r="J49" s="61">
        <f>AVERAGE('regrets 6 probs'!J49, 'regrets 4 probs'!J49)</f>
        <v>0.39723258706467657</v>
      </c>
      <c r="K49" s="90"/>
      <c r="L49" s="63"/>
      <c r="M49" s="61">
        <f>AVERAGE('regrets 6 probs'!M49, 'regrets 4 probs'!M49)</f>
        <v>0.33333333333333331</v>
      </c>
      <c r="N49" s="61">
        <f>AVERAGE('regrets 6 probs'!N49, 'regrets 4 probs'!N49)</f>
        <v>0.33333333333333331</v>
      </c>
      <c r="O49" s="61">
        <f>AVERAGE('regrets 6 probs'!O49, 'regrets 4 probs'!O49)</f>
        <v>0.33333333333333331</v>
      </c>
      <c r="P49" s="90"/>
      <c r="Q49" s="63"/>
      <c r="R49" s="61">
        <f>AVERAGE('regrets 6 probs'!R49, 'regrets 4 probs'!R49)</f>
        <v>0.33333333333333331</v>
      </c>
      <c r="S49" s="61">
        <f>AVERAGE('regrets 6 probs'!S49, 'regrets 4 probs'!S49)</f>
        <v>0.33333333333333331</v>
      </c>
      <c r="T49" s="61">
        <f>AVERAGE('regrets 6 probs'!T49, 'regrets 4 probs'!T49)</f>
        <v>0.33333333333333331</v>
      </c>
      <c r="U49" s="90"/>
    </row>
    <row r="50" spans="1:21" ht="20" customHeight="1" x14ac:dyDescent="0.15">
      <c r="A50" s="12">
        <v>9</v>
      </c>
      <c r="B50" s="61">
        <f>AVERAGE('regrets 6 probs'!B50, 'regrets 4 probs'!B50)</f>
        <v>0.5</v>
      </c>
      <c r="C50" s="61">
        <f>AVERAGE('regrets 6 probs'!C50, 'regrets 4 probs'!C50)</f>
        <v>0.5</v>
      </c>
      <c r="D50" s="61"/>
      <c r="E50" s="61"/>
      <c r="F50" s="90"/>
      <c r="G50" s="61">
        <f>AVERAGE('regrets 6 probs'!G50, 'regrets 4 probs'!G50)</f>
        <v>0.5</v>
      </c>
      <c r="H50" s="61">
        <f>AVERAGE('regrets 6 probs'!H50, 'regrets 4 probs'!H50)</f>
        <v>0.5</v>
      </c>
      <c r="I50" s="61"/>
      <c r="J50" s="61"/>
      <c r="K50" s="90"/>
      <c r="L50" s="61">
        <f>AVERAGE('regrets 6 probs'!L50, 'regrets 4 probs'!L50)</f>
        <v>0.5</v>
      </c>
      <c r="M50" s="61">
        <f>AVERAGE('regrets 6 probs'!M50, 'regrets 4 probs'!M50)</f>
        <v>0.5</v>
      </c>
      <c r="N50" s="61"/>
      <c r="O50" s="61"/>
      <c r="P50" s="90"/>
      <c r="Q50" s="61">
        <f>AVERAGE('regrets 6 probs'!Q50, 'regrets 4 probs'!Q50)</f>
        <v>0.5</v>
      </c>
      <c r="R50" s="61">
        <f>AVERAGE('regrets 6 probs'!R50, 'regrets 4 probs'!R50)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AVERAGE('regrets 6 probs'!C51, 'regrets 4 probs'!C51)</f>
        <v>0.33333333333333331</v>
      </c>
      <c r="D51" s="61">
        <f>AVERAGE('regrets 6 probs'!D51, 'regrets 4 probs'!D51)</f>
        <v>0.33333333333333331</v>
      </c>
      <c r="E51" s="61">
        <f>AVERAGE('regrets 6 probs'!E51, 'regrets 4 probs'!E51)</f>
        <v>0.33333333333333331</v>
      </c>
      <c r="F51" s="90"/>
      <c r="G51" s="63"/>
      <c r="H51" s="61">
        <f>AVERAGE('regrets 6 probs'!H51, 'regrets 4 probs'!H51)</f>
        <v>0.33333333333333331</v>
      </c>
      <c r="I51" s="61">
        <f>AVERAGE('regrets 6 probs'!I51, 'regrets 4 probs'!I51)</f>
        <v>0.33333333333333331</v>
      </c>
      <c r="J51" s="61">
        <f>AVERAGE('regrets 6 probs'!J51, 'regrets 4 probs'!J51)</f>
        <v>0.33333333333333331</v>
      </c>
      <c r="K51" s="90"/>
      <c r="L51" s="63"/>
      <c r="M51" s="61">
        <f>AVERAGE('regrets 6 probs'!M51, 'regrets 4 probs'!M51)</f>
        <v>0.33333333333333331</v>
      </c>
      <c r="N51" s="61">
        <f>AVERAGE('regrets 6 probs'!N51, 'regrets 4 probs'!N51)</f>
        <v>0.33333333333333331</v>
      </c>
      <c r="O51" s="61">
        <f>AVERAGE('regrets 6 probs'!O51, 'regrets 4 probs'!O51)</f>
        <v>0.33333333333333331</v>
      </c>
      <c r="P51" s="90"/>
      <c r="Q51" s="63"/>
      <c r="R51" s="61">
        <f>AVERAGE('regrets 6 probs'!R51, 'regrets 4 probs'!R51)</f>
        <v>0.33333333333333331</v>
      </c>
      <c r="S51" s="61">
        <f>AVERAGE('regrets 6 probs'!S51, 'regrets 4 probs'!S51)</f>
        <v>0.33333333333333331</v>
      </c>
      <c r="T51" s="61">
        <f>AVERAGE('regrets 6 probs'!T51, 'regrets 4 probs'!T51)</f>
        <v>0.33333333333333331</v>
      </c>
      <c r="U51" s="90"/>
    </row>
    <row r="52" spans="1:21" ht="20" customHeight="1" x14ac:dyDescent="0.15">
      <c r="A52" s="12">
        <v>11</v>
      </c>
      <c r="B52" s="61">
        <f>AVERAGE('regrets 6 probs'!B52, 'regrets 4 probs'!B52)</f>
        <v>0.5</v>
      </c>
      <c r="C52" s="61">
        <f>AVERAGE('regrets 6 probs'!C52, 'regrets 4 probs'!C52)</f>
        <v>0.5</v>
      </c>
      <c r="D52" s="61"/>
      <c r="E52" s="61"/>
      <c r="F52" s="90"/>
      <c r="G52" s="61">
        <f>AVERAGE('regrets 6 probs'!G52, 'regrets 4 probs'!G52)</f>
        <v>0.5</v>
      </c>
      <c r="H52" s="61">
        <f>AVERAGE('regrets 6 probs'!H52, 'regrets 4 probs'!H52)</f>
        <v>0.5</v>
      </c>
      <c r="I52" s="61"/>
      <c r="J52" s="61"/>
      <c r="K52" s="90"/>
      <c r="L52" s="61">
        <f>AVERAGE('regrets 6 probs'!L52, 'regrets 4 probs'!L52)</f>
        <v>0.5</v>
      </c>
      <c r="M52" s="61">
        <f>AVERAGE('regrets 6 probs'!M52, 'regrets 4 probs'!M52)</f>
        <v>0.5</v>
      </c>
      <c r="N52" s="61"/>
      <c r="O52" s="61"/>
      <c r="P52" s="90"/>
      <c r="Q52" s="61">
        <f>AVERAGE('regrets 6 probs'!Q52, 'regrets 4 probs'!Q52)</f>
        <v>0.5</v>
      </c>
      <c r="R52" s="61">
        <f>AVERAGE('regrets 6 probs'!R52, 'regrets 4 probs'!R52)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AVERAGE('regrets 6 probs'!B53, 'regrets 4 probs'!B53)</f>
        <v>0.33333333333333331</v>
      </c>
      <c r="C53" s="61">
        <f>AVERAGE('regrets 6 probs'!C53, 'regrets 4 probs'!C53)</f>
        <v>0.33333333333333331</v>
      </c>
      <c r="D53" s="61">
        <f>AVERAGE('regrets 6 probs'!D53, 'regrets 4 probs'!D53)</f>
        <v>0.33333333333333331</v>
      </c>
      <c r="E53" s="61"/>
      <c r="F53" s="90"/>
      <c r="G53" s="61">
        <f>AVERAGE('regrets 6 probs'!G53, 'regrets 4 probs'!G53)</f>
        <v>0.33333333333333331</v>
      </c>
      <c r="H53" s="61">
        <f>AVERAGE('regrets 6 probs'!H53, 'regrets 4 probs'!H53)</f>
        <v>0.33333333333333331</v>
      </c>
      <c r="I53" s="61">
        <f>AVERAGE('regrets 6 probs'!I53, 'regrets 4 probs'!I53)</f>
        <v>0.33333333333333331</v>
      </c>
      <c r="J53" s="61"/>
      <c r="K53" s="90"/>
      <c r="L53" s="61">
        <f>AVERAGE('regrets 6 probs'!L53, 'regrets 4 probs'!L53)</f>
        <v>0.33333333333333331</v>
      </c>
      <c r="M53" s="61">
        <f>AVERAGE('regrets 6 probs'!M53, 'regrets 4 probs'!M53)</f>
        <v>0.33333333333333331</v>
      </c>
      <c r="N53" s="61">
        <f>AVERAGE('regrets 6 probs'!N53, 'regrets 4 probs'!N53)</f>
        <v>0.33333333333333331</v>
      </c>
      <c r="O53" s="61"/>
      <c r="P53" s="90"/>
      <c r="Q53" s="61">
        <f>AVERAGE('regrets 6 probs'!Q53, 'regrets 4 probs'!Q53)</f>
        <v>0.33333333333333331</v>
      </c>
      <c r="R53" s="61">
        <f>AVERAGE('regrets 6 probs'!R53, 'regrets 4 probs'!R53)</f>
        <v>0.33333333333333331</v>
      </c>
      <c r="S53" s="61">
        <f>AVERAGE('regrets 6 probs'!S53, 'regrets 4 probs'!S53)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AVERAGE('regrets 6 probs'!B54, 'regrets 4 probs'!B54)</f>
        <v>0.5</v>
      </c>
      <c r="C54" s="61">
        <f>AVERAGE('regrets 6 probs'!C54, 'regrets 4 probs'!C54)</f>
        <v>0.5</v>
      </c>
      <c r="D54" s="61"/>
      <c r="E54" s="61"/>
      <c r="F54" s="90"/>
      <c r="G54" s="61">
        <f>AVERAGE('regrets 6 probs'!G54, 'regrets 4 probs'!G54)</f>
        <v>0.5</v>
      </c>
      <c r="H54" s="61">
        <f>AVERAGE('regrets 6 probs'!H54, 'regrets 4 probs'!H54)</f>
        <v>0.5</v>
      </c>
      <c r="I54" s="61"/>
      <c r="J54" s="61"/>
      <c r="K54" s="90"/>
      <c r="L54" s="61">
        <f>AVERAGE('regrets 6 probs'!L54, 'regrets 4 probs'!L54)</f>
        <v>0.5</v>
      </c>
      <c r="M54" s="61">
        <f>AVERAGE('regrets 6 probs'!M54, 'regrets 4 probs'!M54)</f>
        <v>0.5</v>
      </c>
      <c r="N54" s="61"/>
      <c r="O54" s="61"/>
      <c r="P54" s="90"/>
      <c r="Q54" s="61">
        <f>AVERAGE('regrets 6 probs'!Q54, 'regrets 4 probs'!Q54)</f>
        <v>0.5</v>
      </c>
      <c r="R54" s="61">
        <f>AVERAGE('regrets 6 probs'!R54, 'regrets 4 probs'!R54)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AVERAGE('regrets 6 probs'!B55, 'regrets 4 probs'!B55)</f>
        <v>0</v>
      </c>
      <c r="C55" s="61">
        <f>AVERAGE('regrets 6 probs'!C55, 'regrets 4 probs'!C55)</f>
        <v>1</v>
      </c>
      <c r="D55" s="61">
        <f>AVERAGE('regrets 6 probs'!D55, 'regrets 4 probs'!D55)</f>
        <v>0</v>
      </c>
      <c r="E55" s="61"/>
      <c r="F55" s="90"/>
      <c r="G55" s="61">
        <f>AVERAGE('regrets 6 probs'!G55, 'regrets 4 probs'!G55)</f>
        <v>0.33333333333333331</v>
      </c>
      <c r="H55" s="61">
        <f>AVERAGE('regrets 6 probs'!H55, 'regrets 4 probs'!H55)</f>
        <v>0.33333333333333331</v>
      </c>
      <c r="I55" s="61">
        <f>AVERAGE('regrets 6 probs'!I55, 'regrets 4 probs'!I55)</f>
        <v>0.33333333333333331</v>
      </c>
      <c r="J55" s="61"/>
      <c r="K55" s="90"/>
      <c r="L55" s="61">
        <f>AVERAGE('regrets 6 probs'!L55, 'regrets 4 probs'!L55)</f>
        <v>0.33333333333333331</v>
      </c>
      <c r="M55" s="61">
        <f>AVERAGE('regrets 6 probs'!M55, 'regrets 4 probs'!M55)</f>
        <v>0.33333333333333331</v>
      </c>
      <c r="N55" s="61">
        <f>AVERAGE('regrets 6 probs'!N55, 'regrets 4 probs'!N55)</f>
        <v>0.33333333333333331</v>
      </c>
      <c r="O55" s="61"/>
      <c r="P55" s="90"/>
      <c r="Q55" s="61">
        <f>AVERAGE('regrets 6 probs'!Q55, 'regrets 4 probs'!Q55)</f>
        <v>0.33333333333333331</v>
      </c>
      <c r="R55" s="61">
        <f>AVERAGE('regrets 6 probs'!R55, 'regrets 4 probs'!R55)</f>
        <v>0.33333333333333331</v>
      </c>
      <c r="S55" s="61">
        <f>AVERAGE('regrets 6 probs'!S55, 'regrets 4 probs'!S55)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AVERAGE('regrets 6 probs'!B56, 'regrets 4 probs'!B56)</f>
        <v>0.5</v>
      </c>
      <c r="C56" s="61">
        <f>AVERAGE('regrets 6 probs'!C56, 'regrets 4 probs'!C56)</f>
        <v>0.5</v>
      </c>
      <c r="D56" s="61"/>
      <c r="E56" s="61"/>
      <c r="F56" s="90"/>
      <c r="G56" s="61">
        <f>AVERAGE('regrets 6 probs'!G56, 'regrets 4 probs'!G56)</f>
        <v>0.75</v>
      </c>
      <c r="H56" s="61">
        <f>AVERAGE('regrets 6 probs'!H56, 'regrets 4 probs'!H56)</f>
        <v>0.25</v>
      </c>
      <c r="I56" s="61"/>
      <c r="J56" s="61"/>
      <c r="K56" s="90"/>
      <c r="L56" s="61">
        <f>AVERAGE('regrets 6 probs'!L56, 'regrets 4 probs'!L56)</f>
        <v>0.5</v>
      </c>
      <c r="M56" s="61">
        <f>AVERAGE('regrets 6 probs'!M56, 'regrets 4 probs'!M56)</f>
        <v>0.5</v>
      </c>
      <c r="N56" s="61"/>
      <c r="O56" s="61"/>
      <c r="P56" s="90"/>
      <c r="Q56" s="61">
        <f>AVERAGE('regrets 6 probs'!Q56, 'regrets 4 probs'!Q56)</f>
        <v>0.5</v>
      </c>
      <c r="R56" s="61">
        <f>AVERAGE('regrets 6 probs'!R56, 'regrets 4 probs'!R56)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AVERAGE('regrets 6 probs'!C57, 'regrets 4 probs'!C57)</f>
        <v>0.5</v>
      </c>
      <c r="D57" s="61">
        <f>AVERAGE('regrets 6 probs'!D57, 'regrets 4 probs'!D57)</f>
        <v>0.5</v>
      </c>
      <c r="E57" s="61"/>
      <c r="F57" s="90"/>
      <c r="G57" s="63"/>
      <c r="H57" s="61">
        <f>AVERAGE('regrets 6 probs'!H57, 'regrets 4 probs'!H57)</f>
        <v>0.5</v>
      </c>
      <c r="I57" s="61">
        <f>AVERAGE('regrets 6 probs'!I57, 'regrets 4 probs'!I57)</f>
        <v>0.5</v>
      </c>
      <c r="J57" s="61"/>
      <c r="K57" s="90"/>
      <c r="L57" s="63"/>
      <c r="M57" s="61">
        <f>AVERAGE('regrets 6 probs'!M57, 'regrets 4 probs'!M57)</f>
        <v>0.5</v>
      </c>
      <c r="N57" s="61">
        <f>AVERAGE('regrets 6 probs'!N57, 'regrets 4 probs'!N57)</f>
        <v>0.5</v>
      </c>
      <c r="O57" s="61"/>
      <c r="P57" s="90"/>
      <c r="Q57" s="63"/>
      <c r="R57" s="61">
        <f>AVERAGE('regrets 6 probs'!R57, 'regrets 4 probs'!R57)</f>
        <v>0.5</v>
      </c>
      <c r="S57" s="61">
        <f>AVERAGE('regrets 6 probs'!S57, 'regrets 4 probs'!S57)</f>
        <v>0.5</v>
      </c>
      <c r="T57" s="61"/>
      <c r="U57" s="90"/>
    </row>
    <row r="58" spans="1:21" ht="20" customHeight="1" x14ac:dyDescent="0.15">
      <c r="A58" s="12">
        <v>17</v>
      </c>
      <c r="B58" s="61">
        <f>AVERAGE('regrets 6 probs'!B58, 'regrets 4 probs'!B58)</f>
        <v>0.5</v>
      </c>
      <c r="C58" s="61">
        <f>AVERAGE('regrets 6 probs'!C58, 'regrets 4 probs'!C58)</f>
        <v>0.5</v>
      </c>
      <c r="D58" s="61"/>
      <c r="E58" s="61"/>
      <c r="F58" s="90"/>
      <c r="G58" s="61">
        <f>AVERAGE('regrets 6 probs'!G58, 'regrets 4 probs'!G58)</f>
        <v>0.5</v>
      </c>
      <c r="H58" s="61">
        <f>AVERAGE('regrets 6 probs'!H58, 'regrets 4 probs'!H58)</f>
        <v>0.5</v>
      </c>
      <c r="I58" s="61"/>
      <c r="J58" s="61"/>
      <c r="K58" s="90"/>
      <c r="L58" s="61">
        <f>AVERAGE('regrets 6 probs'!L58, 'regrets 4 probs'!L58)</f>
        <v>0.5</v>
      </c>
      <c r="M58" s="61">
        <f>AVERAGE('regrets 6 probs'!M58, 'regrets 4 probs'!M58)</f>
        <v>0.5</v>
      </c>
      <c r="N58" s="61"/>
      <c r="O58" s="61"/>
      <c r="P58" s="90"/>
      <c r="Q58" s="61">
        <f>AVERAGE('regrets 6 probs'!Q58, 'regrets 4 probs'!Q58)</f>
        <v>0.5</v>
      </c>
      <c r="R58" s="61">
        <f>AVERAGE('regrets 6 probs'!R58, 'regrets 4 probs'!R58)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AVERAGE('regrets 6 probs'!B59, 'regrets 4 probs'!B59)</f>
        <v>0.5</v>
      </c>
      <c r="C59" s="61">
        <f>AVERAGE('regrets 6 probs'!C59, 'regrets 4 probs'!C59)</f>
        <v>0.5</v>
      </c>
      <c r="D59" s="61"/>
      <c r="E59" s="61"/>
      <c r="F59" s="90"/>
      <c r="G59" s="61">
        <f>AVERAGE('regrets 6 probs'!G59, 'regrets 4 probs'!G59)</f>
        <v>0.5</v>
      </c>
      <c r="H59" s="61">
        <f>AVERAGE('regrets 6 probs'!H59, 'regrets 4 probs'!H59)</f>
        <v>0.5</v>
      </c>
      <c r="I59" s="61"/>
      <c r="J59" s="61"/>
      <c r="K59" s="90"/>
      <c r="L59" s="61">
        <f>AVERAGE('regrets 6 probs'!L59, 'regrets 4 probs'!L59)</f>
        <v>0.5</v>
      </c>
      <c r="M59" s="61">
        <f>AVERAGE('regrets 6 probs'!M59, 'regrets 4 probs'!M59)</f>
        <v>0.5</v>
      </c>
      <c r="N59" s="61"/>
      <c r="O59" s="61"/>
      <c r="P59" s="90"/>
      <c r="Q59" s="61">
        <f>AVERAGE('regrets 6 probs'!Q59, 'regrets 4 probs'!Q59)</f>
        <v>0.5</v>
      </c>
      <c r="R59" s="61">
        <f>AVERAGE('regrets 6 probs'!R59, 'regrets 4 probs'!R59)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AVERAGE('regrets 6 probs'!B60, 'regrets 4 probs'!B60)</f>
        <v>0.5</v>
      </c>
      <c r="C60" s="61">
        <f>AVERAGE('regrets 6 probs'!C60, 'regrets 4 probs'!C60)</f>
        <v>0.5</v>
      </c>
      <c r="D60" s="61"/>
      <c r="E60" s="61"/>
      <c r="F60" s="90"/>
      <c r="G60" s="61">
        <f>AVERAGE('regrets 6 probs'!G60, 'regrets 4 probs'!G60)</f>
        <v>0.5</v>
      </c>
      <c r="H60" s="61">
        <f>AVERAGE('regrets 6 probs'!H60, 'regrets 4 probs'!H60)</f>
        <v>0.5</v>
      </c>
      <c r="I60" s="61"/>
      <c r="J60" s="61"/>
      <c r="K60" s="90"/>
      <c r="L60" s="61">
        <f>AVERAGE('regrets 6 probs'!L60, 'regrets 4 probs'!L60)</f>
        <v>0.5</v>
      </c>
      <c r="M60" s="61">
        <f>AVERAGE('regrets 6 probs'!M60, 'regrets 4 probs'!M60)</f>
        <v>0.5</v>
      </c>
      <c r="N60" s="61"/>
      <c r="O60" s="61"/>
      <c r="P60" s="90"/>
      <c r="Q60" s="61">
        <f>AVERAGE('regrets 6 probs'!Q60, 'regrets 4 probs'!Q60)</f>
        <v>0.5</v>
      </c>
      <c r="R60" s="61">
        <f>AVERAGE('regrets 6 probs'!R60, 'regrets 4 probs'!R60)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AVERAGE('regrets 6 probs'!C61, 'regrets 4 probs'!C61)</f>
        <v>0.5</v>
      </c>
      <c r="D61" s="61">
        <f>AVERAGE('regrets 6 probs'!D61, 'regrets 4 probs'!D61)</f>
        <v>0.5</v>
      </c>
      <c r="E61" s="61"/>
      <c r="F61" s="90"/>
      <c r="G61" s="63"/>
      <c r="H61" s="61">
        <f>AVERAGE('regrets 6 probs'!H61, 'regrets 4 probs'!H61)</f>
        <v>0.5</v>
      </c>
      <c r="I61" s="61">
        <f>AVERAGE('regrets 6 probs'!I61, 'regrets 4 probs'!I61)</f>
        <v>0.5</v>
      </c>
      <c r="J61" s="61"/>
      <c r="K61" s="90"/>
      <c r="L61" s="63"/>
      <c r="M61" s="61">
        <f>AVERAGE('regrets 6 probs'!M61, 'regrets 4 probs'!M61)</f>
        <v>0.5</v>
      </c>
      <c r="N61" s="61">
        <f>AVERAGE('regrets 6 probs'!N61, 'regrets 4 probs'!N61)</f>
        <v>0.5</v>
      </c>
      <c r="O61" s="61"/>
      <c r="P61" s="90"/>
      <c r="Q61" s="63"/>
      <c r="R61" s="61">
        <f>AVERAGE('regrets 6 probs'!R61, 'regrets 4 probs'!R61)</f>
        <v>0.5</v>
      </c>
      <c r="S61" s="61">
        <f>AVERAGE('regrets 6 probs'!S61, 'regrets 4 probs'!S61)</f>
        <v>0.5</v>
      </c>
      <c r="T61" s="61"/>
      <c r="U61" s="90"/>
    </row>
    <row r="62" spans="1:21" ht="20" customHeight="1" x14ac:dyDescent="0.15">
      <c r="A62" s="12">
        <v>21</v>
      </c>
      <c r="B62" s="61">
        <f>AVERAGE('regrets 6 probs'!B62, 'regrets 4 probs'!B62)</f>
        <v>0.5</v>
      </c>
      <c r="C62" s="61">
        <f>AVERAGE('regrets 6 probs'!C62, 'regrets 4 probs'!C62)</f>
        <v>0.5</v>
      </c>
      <c r="D62" s="61"/>
      <c r="E62" s="61"/>
      <c r="F62" s="90"/>
      <c r="G62" s="61">
        <f>AVERAGE('regrets 6 probs'!G62, 'regrets 4 probs'!G62)</f>
        <v>0.5</v>
      </c>
      <c r="H62" s="61">
        <f>AVERAGE('regrets 6 probs'!H62, 'regrets 4 probs'!H62)</f>
        <v>0.5</v>
      </c>
      <c r="I62" s="61"/>
      <c r="J62" s="61"/>
      <c r="K62" s="90"/>
      <c r="L62" s="61">
        <f>AVERAGE('regrets 6 probs'!L62, 'regrets 4 probs'!L62)</f>
        <v>0.5</v>
      </c>
      <c r="M62" s="61">
        <f>AVERAGE('regrets 6 probs'!M62, 'regrets 4 probs'!M62)</f>
        <v>0.5</v>
      </c>
      <c r="N62" s="61"/>
      <c r="O62" s="61"/>
      <c r="P62" s="90"/>
      <c r="Q62" s="61">
        <f>AVERAGE('regrets 6 probs'!Q62, 'regrets 4 probs'!Q62)</f>
        <v>0.5</v>
      </c>
      <c r="R62" s="61">
        <f>AVERAGE('regrets 6 probs'!R62, 'regrets 4 probs'!R62)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AVERAGE('regrets 6 probs'!B63, 'regrets 4 probs'!B63)</f>
        <v>0.5</v>
      </c>
      <c r="C63" s="61">
        <f>AVERAGE('regrets 6 probs'!C63, 'regrets 4 probs'!C63)</f>
        <v>0.5</v>
      </c>
      <c r="D63" s="61"/>
      <c r="E63" s="61"/>
      <c r="F63" s="90"/>
      <c r="G63" s="61">
        <f>AVERAGE('regrets 6 probs'!G63, 'regrets 4 probs'!G63)</f>
        <v>0.5</v>
      </c>
      <c r="H63" s="61">
        <f>AVERAGE('regrets 6 probs'!H63, 'regrets 4 probs'!H63)</f>
        <v>0.5</v>
      </c>
      <c r="I63" s="61"/>
      <c r="J63" s="61"/>
      <c r="K63" s="90"/>
      <c r="L63" s="61">
        <f>AVERAGE('regrets 6 probs'!L63, 'regrets 4 probs'!L63)</f>
        <v>0.5</v>
      </c>
      <c r="M63" s="61">
        <f>AVERAGE('regrets 6 probs'!M63, 'regrets 4 probs'!M63)</f>
        <v>0.5</v>
      </c>
      <c r="N63" s="61"/>
      <c r="O63" s="61"/>
      <c r="P63" s="90"/>
      <c r="Q63" s="61">
        <f>AVERAGE('regrets 6 probs'!Q63, 'regrets 4 probs'!Q63)</f>
        <v>0.5</v>
      </c>
      <c r="R63" s="61">
        <f>AVERAGE('regrets 6 probs'!R63, 'regrets 4 probs'!R63)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AVERAGE('regrets 6 probs'!B64, 'regrets 4 probs'!B64)</f>
        <v>0.5</v>
      </c>
      <c r="C64" s="61">
        <f>AVERAGE('regrets 6 probs'!C64, 'regrets 4 probs'!C64)</f>
        <v>0.5</v>
      </c>
      <c r="D64" s="61"/>
      <c r="E64" s="61"/>
      <c r="F64" s="90"/>
      <c r="G64" s="61">
        <f>AVERAGE('regrets 6 probs'!G64, 'regrets 4 probs'!G64)</f>
        <v>0.5</v>
      </c>
      <c r="H64" s="61">
        <f>AVERAGE('regrets 6 probs'!H64, 'regrets 4 probs'!H64)</f>
        <v>0.5</v>
      </c>
      <c r="I64" s="61"/>
      <c r="J64" s="61"/>
      <c r="K64" s="90"/>
      <c r="L64" s="61">
        <f>AVERAGE('regrets 6 probs'!L64, 'regrets 4 probs'!L64)</f>
        <v>0.5</v>
      </c>
      <c r="M64" s="61">
        <f>AVERAGE('regrets 6 probs'!M64, 'regrets 4 probs'!M64)</f>
        <v>0.5</v>
      </c>
      <c r="N64" s="61"/>
      <c r="O64" s="61"/>
      <c r="P64" s="90"/>
      <c r="Q64" s="61">
        <f>AVERAGE('regrets 6 probs'!Q64, 'regrets 4 probs'!Q64)</f>
        <v>0.5</v>
      </c>
      <c r="R64" s="61">
        <f>AVERAGE('regrets 6 probs'!R64, 'regrets 4 probs'!R64)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AVERAGE('regrets 6 probs'!C65, 'regrets 4 probs'!C65)</f>
        <v>0.5</v>
      </c>
      <c r="D65" s="61">
        <f>AVERAGE('regrets 6 probs'!D65, 'regrets 4 probs'!D65)</f>
        <v>0.5</v>
      </c>
      <c r="E65" s="61"/>
      <c r="F65" s="90"/>
      <c r="G65" s="63"/>
      <c r="H65" s="61">
        <f>AVERAGE('regrets 6 probs'!H65, 'regrets 4 probs'!H65)</f>
        <v>0.5</v>
      </c>
      <c r="I65" s="61">
        <f>AVERAGE('regrets 6 probs'!I65, 'regrets 4 probs'!I65)</f>
        <v>0.5</v>
      </c>
      <c r="J65" s="61"/>
      <c r="K65" s="90"/>
      <c r="L65" s="63"/>
      <c r="M65" s="61">
        <f>AVERAGE('regrets 6 probs'!M65, 'regrets 4 probs'!M65)</f>
        <v>0.5</v>
      </c>
      <c r="N65" s="61">
        <f>AVERAGE('regrets 6 probs'!N65, 'regrets 4 probs'!N65)</f>
        <v>0.5</v>
      </c>
      <c r="O65" s="61"/>
      <c r="P65" s="90"/>
      <c r="Q65" s="63"/>
      <c r="R65" s="61">
        <f>AVERAGE('regrets 6 probs'!R65, 'regrets 4 probs'!R65)</f>
        <v>0.5</v>
      </c>
      <c r="S65" s="61">
        <f>AVERAGE('regrets 6 probs'!S65, 'regrets 4 probs'!S65)</f>
        <v>0.5</v>
      </c>
      <c r="T65" s="61"/>
      <c r="U65" s="90"/>
    </row>
    <row r="66" spans="1:21" ht="20" customHeight="1" x14ac:dyDescent="0.15">
      <c r="A66" s="12">
        <v>25</v>
      </c>
      <c r="B66" s="61">
        <f>AVERAGE('regrets 6 probs'!B66, 'regrets 4 probs'!B66)</f>
        <v>0.5</v>
      </c>
      <c r="C66" s="61">
        <f>AVERAGE('regrets 6 probs'!C66, 'regrets 4 probs'!C66)</f>
        <v>0.5</v>
      </c>
      <c r="D66" s="61"/>
      <c r="E66" s="61"/>
      <c r="F66" s="90"/>
      <c r="G66" s="61">
        <f>AVERAGE('regrets 6 probs'!G66, 'regrets 4 probs'!G66)</f>
        <v>0.5</v>
      </c>
      <c r="H66" s="61">
        <f>AVERAGE('regrets 6 probs'!H66, 'regrets 4 probs'!H66)</f>
        <v>0.5</v>
      </c>
      <c r="I66" s="61"/>
      <c r="J66" s="61"/>
      <c r="K66" s="90"/>
      <c r="L66" s="61">
        <f>AVERAGE('regrets 6 probs'!L66, 'regrets 4 probs'!L66)</f>
        <v>0.5</v>
      </c>
      <c r="M66" s="61">
        <f>AVERAGE('regrets 6 probs'!M66, 'regrets 4 probs'!M66)</f>
        <v>0.5</v>
      </c>
      <c r="N66" s="61"/>
      <c r="O66" s="61"/>
      <c r="P66" s="90"/>
      <c r="Q66" s="61">
        <f>AVERAGE('regrets 6 probs'!Q66, 'regrets 4 probs'!Q66)</f>
        <v>0.5</v>
      </c>
      <c r="R66" s="61">
        <f>AVERAGE('regrets 6 probs'!R66, 'regrets 4 probs'!R66)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AVERAGE('regrets 6 probs'!B67, 'regrets 4 probs'!B67)</f>
        <v>0.5</v>
      </c>
      <c r="C67" s="61">
        <f>AVERAGE('regrets 6 probs'!C67, 'regrets 4 probs'!C67)</f>
        <v>0.5</v>
      </c>
      <c r="D67" s="61"/>
      <c r="E67" s="61"/>
      <c r="F67" s="90"/>
      <c r="G67" s="61">
        <f>AVERAGE('regrets 6 probs'!G67, 'regrets 4 probs'!G67)</f>
        <v>0.5</v>
      </c>
      <c r="H67" s="61">
        <f>AVERAGE('regrets 6 probs'!H67, 'regrets 4 probs'!H67)</f>
        <v>0.5</v>
      </c>
      <c r="I67" s="61"/>
      <c r="J67" s="61"/>
      <c r="K67" s="90"/>
      <c r="L67" s="61">
        <f>AVERAGE('regrets 6 probs'!L67, 'regrets 4 probs'!L67)</f>
        <v>0.5</v>
      </c>
      <c r="M67" s="61">
        <f>AVERAGE('regrets 6 probs'!M67, 'regrets 4 probs'!M67)</f>
        <v>0.5</v>
      </c>
      <c r="N67" s="61"/>
      <c r="O67" s="61"/>
      <c r="P67" s="90"/>
      <c r="Q67" s="61">
        <f>AVERAGE('regrets 6 probs'!Q67, 'regrets 4 probs'!Q67)</f>
        <v>0.5</v>
      </c>
      <c r="R67" s="61">
        <f>AVERAGE('regrets 6 probs'!R67, 'regrets 4 probs'!R67)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AVERAGE('regrets 6 probs'!B68, 'regrets 4 probs'!B68)</f>
        <v>0.5</v>
      </c>
      <c r="C68" s="61">
        <f>AVERAGE('regrets 6 probs'!C68, 'regrets 4 probs'!C68)</f>
        <v>0.5</v>
      </c>
      <c r="D68" s="83"/>
      <c r="E68" s="83"/>
      <c r="F68" s="94"/>
      <c r="G68" s="61">
        <f>AVERAGE('regrets 6 probs'!G68, 'regrets 4 probs'!G68)</f>
        <v>0.5</v>
      </c>
      <c r="H68" s="61">
        <f>AVERAGE('regrets 6 probs'!H68, 'regrets 4 probs'!H68)</f>
        <v>0.5</v>
      </c>
      <c r="I68" s="83"/>
      <c r="J68" s="83"/>
      <c r="K68" s="94"/>
      <c r="L68" s="61">
        <f>AVERAGE('regrets 6 probs'!L68, 'regrets 4 probs'!L68)</f>
        <v>0.5</v>
      </c>
      <c r="M68" s="61">
        <f>AVERAGE('regrets 6 probs'!M68, 'regrets 4 probs'!M68)</f>
        <v>0.5</v>
      </c>
      <c r="N68" s="83"/>
      <c r="O68" s="83"/>
      <c r="P68" s="94"/>
      <c r="Q68" s="61">
        <f>AVERAGE('regrets 6 probs'!Q68, 'regrets 4 probs'!Q68)</f>
        <v>0.5</v>
      </c>
      <c r="R68" s="61">
        <f>AVERAGE('regrets 6 probs'!R68, 'regrets 4 probs'!R68)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AVERAGE('regrets 6 probs'!C69, 'regrets 4 probs'!C69)</f>
        <v>0.5</v>
      </c>
      <c r="D69" s="68">
        <f>AVERAGE('regrets 6 probs'!D69, 'regrets 4 probs'!D69)</f>
        <v>0.5</v>
      </c>
      <c r="E69" s="67"/>
      <c r="F69" s="86"/>
      <c r="G69" s="85"/>
      <c r="H69" s="68">
        <f>AVERAGE('regrets 6 probs'!H69, 'regrets 4 probs'!H69)</f>
        <v>0.5</v>
      </c>
      <c r="I69" s="68">
        <f>AVERAGE('regrets 6 probs'!I69, 'regrets 4 probs'!I69)</f>
        <v>0.5</v>
      </c>
      <c r="J69" s="67"/>
      <c r="K69" s="86"/>
      <c r="L69" s="85"/>
      <c r="M69" s="68">
        <f>AVERAGE('regrets 6 probs'!M69, 'regrets 4 probs'!M69)</f>
        <v>0.5</v>
      </c>
      <c r="N69" s="68">
        <f>AVERAGE('regrets 6 probs'!N69, 'regrets 4 probs'!N69)</f>
        <v>0.5</v>
      </c>
      <c r="O69" s="67"/>
      <c r="P69" s="86"/>
      <c r="Q69" s="85"/>
      <c r="R69" s="68">
        <f>AVERAGE('regrets 6 probs'!R69, 'regrets 4 probs'!R69)</f>
        <v>0.5</v>
      </c>
      <c r="S69" s="68">
        <f>AVERAGE('regrets 6 probs'!S69, 'regrets 4 probs'!S69)</f>
        <v>0.5</v>
      </c>
      <c r="T69" s="67"/>
      <c r="U69" s="86"/>
    </row>
    <row r="70" spans="1:21" ht="20" customHeight="1" x14ac:dyDescent="0.15">
      <c r="A70" s="12">
        <v>1</v>
      </c>
      <c r="B70" s="61">
        <f>AVERAGE('regrets 6 probs'!B70, 'regrets 4 probs'!B70)</f>
        <v>0.5</v>
      </c>
      <c r="C70" s="61">
        <f>AVERAGE('regrets 6 probs'!C70, 'regrets 4 probs'!C70)</f>
        <v>0.5</v>
      </c>
      <c r="D70" s="61"/>
      <c r="E70" s="62"/>
      <c r="F70" s="90"/>
      <c r="G70" s="61">
        <f>AVERAGE('regrets 6 probs'!G70, 'regrets 4 probs'!G70)</f>
        <v>0.5</v>
      </c>
      <c r="H70" s="61">
        <f>AVERAGE('regrets 6 probs'!H70, 'regrets 4 probs'!H70)</f>
        <v>0.5</v>
      </c>
      <c r="I70" s="61"/>
      <c r="J70" s="62"/>
      <c r="K70" s="90"/>
      <c r="L70" s="61">
        <f>AVERAGE('regrets 6 probs'!L70, 'regrets 4 probs'!L70)</f>
        <v>0.5</v>
      </c>
      <c r="M70" s="61">
        <f>AVERAGE('regrets 6 probs'!M70, 'regrets 4 probs'!M70)</f>
        <v>0.5</v>
      </c>
      <c r="N70" s="61"/>
      <c r="O70" s="62"/>
      <c r="P70" s="90"/>
      <c r="Q70" s="61">
        <f>AVERAGE('regrets 6 probs'!Q70, 'regrets 4 probs'!Q70)</f>
        <v>0.5</v>
      </c>
      <c r="R70" s="61">
        <f>AVERAGE('regrets 6 probs'!R70, 'regrets 4 probs'!R70)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AVERAGE('regrets 6 probs'!C71, 'regrets 4 probs'!C71)</f>
        <v>0.5</v>
      </c>
      <c r="D71" s="61">
        <f>AVERAGE('regrets 6 probs'!D71, 'regrets 4 probs'!D71)</f>
        <v>0.5</v>
      </c>
      <c r="E71" s="62"/>
      <c r="F71" s="90"/>
      <c r="G71" s="63"/>
      <c r="H71" s="61">
        <f>AVERAGE('regrets 6 probs'!H71, 'regrets 4 probs'!H71)</f>
        <v>0.5</v>
      </c>
      <c r="I71" s="61">
        <f>AVERAGE('regrets 6 probs'!I71, 'regrets 4 probs'!I71)</f>
        <v>0.5</v>
      </c>
      <c r="J71" s="62"/>
      <c r="K71" s="90"/>
      <c r="L71" s="63"/>
      <c r="M71" s="61">
        <f>AVERAGE('regrets 6 probs'!M71, 'regrets 4 probs'!M71)</f>
        <v>0.5</v>
      </c>
      <c r="N71" s="61">
        <f>AVERAGE('regrets 6 probs'!N71, 'regrets 4 probs'!N71)</f>
        <v>0.5</v>
      </c>
      <c r="O71" s="62"/>
      <c r="P71" s="90"/>
      <c r="Q71" s="63"/>
      <c r="R71" s="61">
        <f>AVERAGE('regrets 6 probs'!R71, 'regrets 4 probs'!R71)</f>
        <v>0.5</v>
      </c>
      <c r="S71" s="61">
        <f>AVERAGE('regrets 6 probs'!S71, 'regrets 4 probs'!S71)</f>
        <v>0.5</v>
      </c>
      <c r="T71" s="62"/>
      <c r="U71" s="90"/>
    </row>
    <row r="72" spans="1:21" ht="20" customHeight="1" x14ac:dyDescent="0.15">
      <c r="A72" s="12">
        <v>3</v>
      </c>
      <c r="B72" s="61">
        <f>AVERAGE('regrets 6 probs'!B72, 'regrets 4 probs'!B72)</f>
        <v>0.5</v>
      </c>
      <c r="C72" s="61">
        <f>AVERAGE('regrets 6 probs'!C72, 'regrets 4 probs'!C72)</f>
        <v>0.5</v>
      </c>
      <c r="D72" s="61"/>
      <c r="E72" s="62"/>
      <c r="F72" s="90"/>
      <c r="G72" s="61">
        <f>AVERAGE('regrets 6 probs'!G72, 'regrets 4 probs'!G72)</f>
        <v>0.5</v>
      </c>
      <c r="H72" s="61">
        <f>AVERAGE('regrets 6 probs'!H72, 'regrets 4 probs'!H72)</f>
        <v>0.5</v>
      </c>
      <c r="I72" s="61"/>
      <c r="J72" s="62"/>
      <c r="K72" s="90"/>
      <c r="L72" s="61">
        <f>AVERAGE('regrets 6 probs'!L72, 'regrets 4 probs'!L72)</f>
        <v>0.5</v>
      </c>
      <c r="M72" s="61">
        <f>AVERAGE('regrets 6 probs'!M72, 'regrets 4 probs'!M72)</f>
        <v>0.5</v>
      </c>
      <c r="N72" s="61"/>
      <c r="O72" s="62"/>
      <c r="P72" s="90"/>
      <c r="Q72" s="61">
        <f>AVERAGE('regrets 6 probs'!Q72, 'regrets 4 probs'!Q72)</f>
        <v>0.5</v>
      </c>
      <c r="R72" s="61">
        <f>AVERAGE('regrets 6 probs'!R72, 'regrets 4 probs'!R72)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AVERAGE('regrets 6 probs'!C73, 'regrets 4 probs'!C73)</f>
        <v>0.5</v>
      </c>
      <c r="D73" s="61">
        <f>AVERAGE('regrets 6 probs'!D73, 'regrets 4 probs'!D73)</f>
        <v>0.5</v>
      </c>
      <c r="E73" s="62"/>
      <c r="F73" s="90"/>
      <c r="G73" s="63"/>
      <c r="H73" s="61">
        <f>AVERAGE('regrets 6 probs'!H73, 'regrets 4 probs'!H73)</f>
        <v>0.5</v>
      </c>
      <c r="I73" s="61">
        <f>AVERAGE('regrets 6 probs'!I73, 'regrets 4 probs'!I73)</f>
        <v>0.5</v>
      </c>
      <c r="J73" s="62"/>
      <c r="K73" s="90"/>
      <c r="L73" s="63"/>
      <c r="M73" s="61">
        <f>AVERAGE('regrets 6 probs'!M73, 'regrets 4 probs'!M73)</f>
        <v>0.5</v>
      </c>
      <c r="N73" s="61">
        <f>AVERAGE('regrets 6 probs'!N73, 'regrets 4 probs'!N73)</f>
        <v>0.5</v>
      </c>
      <c r="O73" s="62"/>
      <c r="P73" s="90"/>
      <c r="Q73" s="63"/>
      <c r="R73" s="61">
        <f>AVERAGE('regrets 6 probs'!R73, 'regrets 4 probs'!R73)</f>
        <v>0.5</v>
      </c>
      <c r="S73" s="61">
        <f>AVERAGE('regrets 6 probs'!S73, 'regrets 4 probs'!S73)</f>
        <v>0.5</v>
      </c>
      <c r="T73" s="62"/>
      <c r="U73" s="90"/>
    </row>
    <row r="74" spans="1:21" ht="20" customHeight="1" x14ac:dyDescent="0.15">
      <c r="A74" s="12">
        <v>5</v>
      </c>
      <c r="B74" s="61">
        <f>AVERAGE('regrets 6 probs'!B74, 'regrets 4 probs'!B74)</f>
        <v>0.5</v>
      </c>
      <c r="C74" s="61">
        <f>AVERAGE('regrets 6 probs'!C74, 'regrets 4 probs'!C74)</f>
        <v>0.5</v>
      </c>
      <c r="D74" s="61"/>
      <c r="E74" s="62"/>
      <c r="F74" s="90"/>
      <c r="G74" s="61">
        <f>AVERAGE('regrets 6 probs'!G74, 'regrets 4 probs'!G74)</f>
        <v>0.5</v>
      </c>
      <c r="H74" s="61">
        <f>AVERAGE('regrets 6 probs'!H74, 'regrets 4 probs'!H74)</f>
        <v>0.5</v>
      </c>
      <c r="I74" s="61"/>
      <c r="J74" s="62"/>
      <c r="K74" s="90"/>
      <c r="L74" s="61">
        <f>AVERAGE('regrets 6 probs'!L74, 'regrets 4 probs'!L74)</f>
        <v>0.5</v>
      </c>
      <c r="M74" s="61">
        <f>AVERAGE('regrets 6 probs'!M74, 'regrets 4 probs'!M74)</f>
        <v>0.5</v>
      </c>
      <c r="N74" s="61"/>
      <c r="O74" s="62"/>
      <c r="P74" s="90"/>
      <c r="Q74" s="61">
        <f>AVERAGE('regrets 6 probs'!Q74, 'regrets 4 probs'!Q74)</f>
        <v>0.5</v>
      </c>
      <c r="R74" s="61">
        <f>AVERAGE('regrets 6 probs'!R74, 'regrets 4 probs'!R74)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AVERAGE('regrets 6 probs'!C75, 'regrets 4 probs'!C75)</f>
        <v>0.5</v>
      </c>
      <c r="D75" s="61">
        <f>AVERAGE('regrets 6 probs'!D75, 'regrets 4 probs'!D75)</f>
        <v>0.5</v>
      </c>
      <c r="E75" s="62"/>
      <c r="F75" s="90"/>
      <c r="G75" s="63"/>
      <c r="H75" s="61">
        <f>AVERAGE('regrets 6 probs'!H75, 'regrets 4 probs'!H75)</f>
        <v>0.5</v>
      </c>
      <c r="I75" s="61">
        <f>AVERAGE('regrets 6 probs'!I75, 'regrets 4 probs'!I75)</f>
        <v>0.5</v>
      </c>
      <c r="J75" s="62"/>
      <c r="K75" s="90"/>
      <c r="L75" s="63"/>
      <c r="M75" s="61">
        <f>AVERAGE('regrets 6 probs'!M75, 'regrets 4 probs'!M75)</f>
        <v>0.5</v>
      </c>
      <c r="N75" s="61">
        <f>AVERAGE('regrets 6 probs'!N75, 'regrets 4 probs'!N75)</f>
        <v>0.5</v>
      </c>
      <c r="O75" s="62"/>
      <c r="P75" s="90"/>
      <c r="Q75" s="63"/>
      <c r="R75" s="61">
        <f>AVERAGE('regrets 6 probs'!R75, 'regrets 4 probs'!R75)</f>
        <v>0.5</v>
      </c>
      <c r="S75" s="61">
        <f>AVERAGE('regrets 6 probs'!S75, 'regrets 4 probs'!S75)</f>
        <v>0.5</v>
      </c>
      <c r="T75" s="62"/>
      <c r="U75" s="90"/>
    </row>
    <row r="76" spans="1:21" ht="20" customHeight="1" x14ac:dyDescent="0.15">
      <c r="A76" s="12">
        <v>7</v>
      </c>
      <c r="B76" s="61">
        <f>AVERAGE('regrets 6 probs'!B76, 'regrets 4 probs'!B76)</f>
        <v>0.5</v>
      </c>
      <c r="C76" s="61">
        <f>AVERAGE('regrets 6 probs'!C76, 'regrets 4 probs'!C76)</f>
        <v>0.5</v>
      </c>
      <c r="D76" s="61"/>
      <c r="E76" s="62"/>
      <c r="F76" s="90"/>
      <c r="G76" s="61">
        <f>AVERAGE('regrets 6 probs'!G76, 'regrets 4 probs'!G76)</f>
        <v>0.5</v>
      </c>
      <c r="H76" s="61">
        <f>AVERAGE('regrets 6 probs'!H76, 'regrets 4 probs'!H76)</f>
        <v>0.5</v>
      </c>
      <c r="I76" s="61"/>
      <c r="J76" s="62"/>
      <c r="K76" s="90"/>
      <c r="L76" s="61">
        <f>AVERAGE('regrets 6 probs'!L76, 'regrets 4 probs'!L76)</f>
        <v>0.5</v>
      </c>
      <c r="M76" s="61">
        <f>AVERAGE('regrets 6 probs'!M76, 'regrets 4 probs'!M76)</f>
        <v>0.5</v>
      </c>
      <c r="N76" s="61"/>
      <c r="O76" s="62"/>
      <c r="P76" s="90"/>
      <c r="Q76" s="61">
        <f>AVERAGE('regrets 6 probs'!Q76, 'regrets 4 probs'!Q76)</f>
        <v>0.5</v>
      </c>
      <c r="R76" s="61">
        <f>AVERAGE('regrets 6 probs'!R76, 'regrets 4 probs'!R76)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AVERAGE('regrets 6 probs'!C77, 'regrets 4 probs'!C77)</f>
        <v>0.5</v>
      </c>
      <c r="D77" s="61">
        <f>AVERAGE('regrets 6 probs'!D77, 'regrets 4 probs'!D77)</f>
        <v>0.5</v>
      </c>
      <c r="E77" s="62"/>
      <c r="F77" s="90"/>
      <c r="G77" s="63"/>
      <c r="H77" s="61">
        <f>AVERAGE('regrets 6 probs'!H77, 'regrets 4 probs'!H77)</f>
        <v>0.5</v>
      </c>
      <c r="I77" s="61">
        <f>AVERAGE('regrets 6 probs'!I77, 'regrets 4 probs'!I77)</f>
        <v>0.5</v>
      </c>
      <c r="J77" s="62"/>
      <c r="K77" s="90"/>
      <c r="L77" s="63"/>
      <c r="M77" s="61">
        <f>AVERAGE('regrets 6 probs'!M77, 'regrets 4 probs'!M77)</f>
        <v>0.5</v>
      </c>
      <c r="N77" s="61">
        <f>AVERAGE('regrets 6 probs'!N77, 'regrets 4 probs'!N77)</f>
        <v>0.5</v>
      </c>
      <c r="O77" s="62"/>
      <c r="P77" s="90"/>
      <c r="Q77" s="63"/>
      <c r="R77" s="61">
        <f>AVERAGE('regrets 6 probs'!R77, 'regrets 4 probs'!R77)</f>
        <v>0.5</v>
      </c>
      <c r="S77" s="61">
        <f>AVERAGE('regrets 6 probs'!S77, 'regrets 4 probs'!S77)</f>
        <v>0.5</v>
      </c>
      <c r="T77" s="62"/>
      <c r="U77" s="90"/>
    </row>
    <row r="78" spans="1:21" ht="20" customHeight="1" x14ac:dyDescent="0.15">
      <c r="A78" s="12">
        <v>9</v>
      </c>
      <c r="B78" s="61">
        <f>AVERAGE('regrets 6 probs'!B78, 'regrets 4 probs'!B78)</f>
        <v>0.5</v>
      </c>
      <c r="C78" s="61">
        <f>AVERAGE('regrets 6 probs'!C78, 'regrets 4 probs'!C78)</f>
        <v>0.5</v>
      </c>
      <c r="D78" s="61"/>
      <c r="E78" s="62"/>
      <c r="F78" s="90"/>
      <c r="G78" s="61">
        <f>AVERAGE('regrets 6 probs'!G78, 'regrets 4 probs'!G78)</f>
        <v>0.5</v>
      </c>
      <c r="H78" s="61">
        <f>AVERAGE('regrets 6 probs'!H78, 'regrets 4 probs'!H78)</f>
        <v>0.5</v>
      </c>
      <c r="I78" s="61"/>
      <c r="J78" s="62"/>
      <c r="K78" s="90"/>
      <c r="L78" s="61">
        <f>AVERAGE('regrets 6 probs'!L78, 'regrets 4 probs'!L78)</f>
        <v>0.5</v>
      </c>
      <c r="M78" s="61">
        <f>AVERAGE('regrets 6 probs'!M78, 'regrets 4 probs'!M78)</f>
        <v>0.5</v>
      </c>
      <c r="N78" s="61"/>
      <c r="O78" s="62"/>
      <c r="P78" s="90"/>
      <c r="Q78" s="61">
        <f>AVERAGE('regrets 6 probs'!Q78, 'regrets 4 probs'!Q78)</f>
        <v>0.5</v>
      </c>
      <c r="R78" s="61">
        <f>AVERAGE('regrets 6 probs'!R78, 'regrets 4 probs'!R78)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AVERAGE('regrets 6 probs'!C79, 'regrets 4 probs'!C79)</f>
        <v>0.5</v>
      </c>
      <c r="D79" s="61">
        <f>AVERAGE('regrets 6 probs'!D79, 'regrets 4 probs'!D79)</f>
        <v>0.5</v>
      </c>
      <c r="E79" s="62"/>
      <c r="F79" s="90"/>
      <c r="G79" s="63"/>
      <c r="H79" s="61">
        <f>AVERAGE('regrets 6 probs'!H79, 'regrets 4 probs'!H79)</f>
        <v>0.5</v>
      </c>
      <c r="I79" s="61">
        <f>AVERAGE('regrets 6 probs'!I79, 'regrets 4 probs'!I79)</f>
        <v>0.5</v>
      </c>
      <c r="J79" s="62"/>
      <c r="K79" s="90"/>
      <c r="L79" s="63"/>
      <c r="M79" s="61">
        <f>AVERAGE('regrets 6 probs'!M79, 'regrets 4 probs'!M79)</f>
        <v>0.5</v>
      </c>
      <c r="N79" s="61">
        <f>AVERAGE('regrets 6 probs'!N79, 'regrets 4 probs'!N79)</f>
        <v>0.5</v>
      </c>
      <c r="O79" s="62"/>
      <c r="P79" s="90"/>
      <c r="Q79" s="63"/>
      <c r="R79" s="61">
        <f>AVERAGE('regrets 6 probs'!R79, 'regrets 4 probs'!R79)</f>
        <v>0.5</v>
      </c>
      <c r="S79" s="61">
        <f>AVERAGE('regrets 6 probs'!S79, 'regrets 4 probs'!S79)</f>
        <v>0.5</v>
      </c>
      <c r="T79" s="62"/>
      <c r="U79" s="90"/>
    </row>
    <row r="80" spans="1:21" ht="20" customHeight="1" x14ac:dyDescent="0.15">
      <c r="A80" s="12">
        <v>11</v>
      </c>
      <c r="B80" s="61">
        <f>AVERAGE('regrets 6 probs'!B80, 'regrets 4 probs'!B80)</f>
        <v>0.5</v>
      </c>
      <c r="C80" s="61">
        <f>AVERAGE('regrets 6 probs'!C80, 'regrets 4 probs'!C80)</f>
        <v>0.5</v>
      </c>
      <c r="D80" s="61"/>
      <c r="E80" s="62"/>
      <c r="F80" s="90"/>
      <c r="G80" s="61">
        <f>AVERAGE('regrets 6 probs'!G80, 'regrets 4 probs'!G80)</f>
        <v>0.5</v>
      </c>
      <c r="H80" s="61">
        <f>AVERAGE('regrets 6 probs'!H80, 'regrets 4 probs'!H80)</f>
        <v>0.5</v>
      </c>
      <c r="I80" s="61"/>
      <c r="J80" s="62"/>
      <c r="K80" s="90"/>
      <c r="L80" s="61">
        <f>AVERAGE('regrets 6 probs'!L80, 'regrets 4 probs'!L80)</f>
        <v>0.5</v>
      </c>
      <c r="M80" s="61">
        <f>AVERAGE('regrets 6 probs'!M80, 'regrets 4 probs'!M80)</f>
        <v>0.5</v>
      </c>
      <c r="N80" s="61"/>
      <c r="O80" s="62"/>
      <c r="P80" s="90"/>
      <c r="Q80" s="61">
        <f>AVERAGE('regrets 6 probs'!Q80, 'regrets 4 probs'!Q80)</f>
        <v>0.5</v>
      </c>
      <c r="R80" s="61">
        <f>AVERAGE('regrets 6 probs'!R80, 'regrets 4 probs'!R80)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AVERAGE('regrets 6 probs'!C81, 'regrets 4 probs'!C81)</f>
        <v>0.5</v>
      </c>
      <c r="D81" s="61">
        <f>AVERAGE('regrets 6 probs'!D81, 'regrets 4 probs'!D81)</f>
        <v>0.5</v>
      </c>
      <c r="E81" s="62"/>
      <c r="F81" s="90"/>
      <c r="G81" s="63"/>
      <c r="H81" s="61">
        <f>AVERAGE('regrets 6 probs'!H81, 'regrets 4 probs'!H81)</f>
        <v>0.5</v>
      </c>
      <c r="I81" s="61">
        <f>AVERAGE('regrets 6 probs'!I81, 'regrets 4 probs'!I81)</f>
        <v>0.5</v>
      </c>
      <c r="J81" s="62"/>
      <c r="K81" s="90"/>
      <c r="L81" s="63"/>
      <c r="M81" s="61">
        <f>AVERAGE('regrets 6 probs'!M81, 'regrets 4 probs'!M81)</f>
        <v>0.25</v>
      </c>
      <c r="N81" s="61">
        <f>AVERAGE('regrets 6 probs'!N81, 'regrets 4 probs'!N81)</f>
        <v>0.75</v>
      </c>
      <c r="O81" s="62"/>
      <c r="P81" s="90"/>
      <c r="Q81" s="63"/>
      <c r="R81" s="61">
        <f>AVERAGE('regrets 6 probs'!R81, 'regrets 4 probs'!R81)</f>
        <v>0.5</v>
      </c>
      <c r="S81" s="61">
        <f>AVERAGE('regrets 6 probs'!S81, 'regrets 4 probs'!S81)</f>
        <v>0.5</v>
      </c>
      <c r="T81" s="62"/>
      <c r="U81" s="90"/>
    </row>
    <row r="82" spans="1:21" ht="20" customHeight="1" x14ac:dyDescent="0.15">
      <c r="A82" s="12">
        <v>13</v>
      </c>
      <c r="B82" s="61">
        <f>AVERAGE('regrets 6 probs'!B82, 'regrets 4 probs'!B82)</f>
        <v>0.5</v>
      </c>
      <c r="C82" s="61">
        <f>AVERAGE('regrets 6 probs'!C82, 'regrets 4 probs'!C82)</f>
        <v>0.5</v>
      </c>
      <c r="D82" s="61"/>
      <c r="E82" s="62"/>
      <c r="F82" s="90"/>
      <c r="G82" s="61">
        <f>AVERAGE('regrets 6 probs'!G82, 'regrets 4 probs'!G82)</f>
        <v>0.5</v>
      </c>
      <c r="H82" s="61">
        <f>AVERAGE('regrets 6 probs'!H82, 'regrets 4 probs'!H82)</f>
        <v>0.5</v>
      </c>
      <c r="I82" s="61"/>
      <c r="J82" s="62"/>
      <c r="K82" s="90"/>
      <c r="L82" s="61">
        <f>AVERAGE('regrets 6 probs'!L82, 'regrets 4 probs'!L82)</f>
        <v>0.5</v>
      </c>
      <c r="M82" s="61">
        <f>AVERAGE('regrets 6 probs'!M82, 'regrets 4 probs'!M82)</f>
        <v>0.5</v>
      </c>
      <c r="N82" s="61"/>
      <c r="O82" s="62"/>
      <c r="P82" s="90"/>
      <c r="Q82" s="61">
        <f>AVERAGE('regrets 6 probs'!Q82, 'regrets 4 probs'!Q82)</f>
        <v>0.5</v>
      </c>
      <c r="R82" s="61">
        <f>AVERAGE('regrets 6 probs'!R82, 'regrets 4 probs'!R82)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AVERAGE('regrets 6 probs'!C83, 'regrets 4 probs'!C83)</f>
        <v>0.5</v>
      </c>
      <c r="D83" s="61">
        <f>AVERAGE('regrets 6 probs'!D83, 'regrets 4 probs'!D83)</f>
        <v>0.5</v>
      </c>
      <c r="E83" s="62"/>
      <c r="F83" s="90"/>
      <c r="G83" s="63"/>
      <c r="H83" s="61">
        <f>AVERAGE('regrets 6 probs'!H83, 'regrets 4 probs'!H83)</f>
        <v>0.5</v>
      </c>
      <c r="I83" s="61">
        <f>AVERAGE('regrets 6 probs'!I83, 'regrets 4 probs'!I83)</f>
        <v>0.5</v>
      </c>
      <c r="J83" s="62"/>
      <c r="K83" s="90"/>
      <c r="L83" s="63"/>
      <c r="M83" s="61">
        <f>AVERAGE('regrets 6 probs'!M83, 'regrets 4 probs'!M83)</f>
        <v>0.5</v>
      </c>
      <c r="N83" s="61">
        <f>AVERAGE('regrets 6 probs'!N83, 'regrets 4 probs'!N83)</f>
        <v>0.5</v>
      </c>
      <c r="O83" s="62"/>
      <c r="P83" s="90"/>
      <c r="Q83" s="63"/>
      <c r="R83" s="61">
        <f>AVERAGE('regrets 6 probs'!R83, 'regrets 4 probs'!R83)</f>
        <v>0.5</v>
      </c>
      <c r="S83" s="61">
        <f>AVERAGE('regrets 6 probs'!S83, 'regrets 4 probs'!S83)</f>
        <v>0.5</v>
      </c>
      <c r="T83" s="62"/>
      <c r="U83" s="90"/>
    </row>
    <row r="84" spans="1:21" ht="20" customHeight="1" x14ac:dyDescent="0.15">
      <c r="A84" s="12">
        <v>15</v>
      </c>
      <c r="B84" s="61">
        <f>AVERAGE('regrets 6 probs'!B84, 'regrets 4 probs'!B84)</f>
        <v>0.5</v>
      </c>
      <c r="C84" s="61">
        <f>AVERAGE('regrets 6 probs'!C84, 'regrets 4 probs'!C84)</f>
        <v>0.5</v>
      </c>
      <c r="D84" s="61"/>
      <c r="E84" s="62"/>
      <c r="F84" s="90"/>
      <c r="G84" s="61">
        <f>AVERAGE('regrets 6 probs'!G84, 'regrets 4 probs'!G84)</f>
        <v>0.5</v>
      </c>
      <c r="H84" s="61">
        <f>AVERAGE('regrets 6 probs'!H84, 'regrets 4 probs'!H84)</f>
        <v>0.5</v>
      </c>
      <c r="I84" s="61"/>
      <c r="J84" s="62"/>
      <c r="K84" s="90"/>
      <c r="L84" s="61">
        <f>AVERAGE('regrets 6 probs'!L84, 'regrets 4 probs'!L84)</f>
        <v>0.5</v>
      </c>
      <c r="M84" s="61">
        <f>AVERAGE('regrets 6 probs'!M84, 'regrets 4 probs'!M84)</f>
        <v>0.5</v>
      </c>
      <c r="N84" s="61"/>
      <c r="O84" s="62"/>
      <c r="P84" s="90"/>
      <c r="Q84" s="61">
        <f>AVERAGE('regrets 6 probs'!Q84, 'regrets 4 probs'!Q84)</f>
        <v>0.5</v>
      </c>
      <c r="R84" s="61">
        <f>AVERAGE('regrets 6 probs'!R84, 'regrets 4 probs'!R84)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AVERAGE('regrets 6 probs'!C85, 'regrets 4 probs'!C85)</f>
        <v>0.5</v>
      </c>
      <c r="D85" s="61">
        <f>AVERAGE('regrets 6 probs'!D85, 'regrets 4 probs'!D85)</f>
        <v>0.5</v>
      </c>
      <c r="E85" s="62"/>
      <c r="F85" s="90"/>
      <c r="G85" s="63"/>
      <c r="H85" s="61">
        <f>AVERAGE('regrets 6 probs'!H85, 'regrets 4 probs'!H85)</f>
        <v>0.5</v>
      </c>
      <c r="I85" s="61">
        <f>AVERAGE('regrets 6 probs'!I85, 'regrets 4 probs'!I85)</f>
        <v>0.5</v>
      </c>
      <c r="J85" s="62"/>
      <c r="K85" s="90"/>
      <c r="L85" s="63"/>
      <c r="M85" s="61">
        <f>AVERAGE('regrets 6 probs'!M85, 'regrets 4 probs'!M85)</f>
        <v>0.5</v>
      </c>
      <c r="N85" s="61">
        <f>AVERAGE('regrets 6 probs'!N85, 'regrets 4 probs'!N85)</f>
        <v>0.5</v>
      </c>
      <c r="O85" s="62"/>
      <c r="P85" s="90"/>
      <c r="Q85" s="63"/>
      <c r="R85" s="61">
        <f>AVERAGE('regrets 6 probs'!R85, 'regrets 4 probs'!R85)</f>
        <v>0.5</v>
      </c>
      <c r="S85" s="61">
        <f>AVERAGE('regrets 6 probs'!S85, 'regrets 4 probs'!S85)</f>
        <v>0.5</v>
      </c>
      <c r="T85" s="62"/>
      <c r="U85" s="90"/>
    </row>
    <row r="86" spans="1:21" ht="20" customHeight="1" x14ac:dyDescent="0.15">
      <c r="A86" s="12">
        <v>17</v>
      </c>
      <c r="B86" s="61">
        <f>AVERAGE('regrets 6 probs'!B86, 'regrets 4 probs'!B86)</f>
        <v>0.5</v>
      </c>
      <c r="C86" s="61">
        <f>AVERAGE('regrets 6 probs'!C86, 'regrets 4 probs'!C86)</f>
        <v>0.5</v>
      </c>
      <c r="D86" s="61"/>
      <c r="E86" s="62"/>
      <c r="F86" s="90"/>
      <c r="G86" s="61">
        <f>AVERAGE('regrets 6 probs'!G86, 'regrets 4 probs'!G86)</f>
        <v>0.5</v>
      </c>
      <c r="H86" s="61">
        <f>AVERAGE('regrets 6 probs'!H86, 'regrets 4 probs'!H86)</f>
        <v>0.5</v>
      </c>
      <c r="I86" s="61"/>
      <c r="J86" s="62"/>
      <c r="K86" s="90"/>
      <c r="L86" s="61">
        <f>AVERAGE('regrets 6 probs'!L86, 'regrets 4 probs'!L86)</f>
        <v>0.5</v>
      </c>
      <c r="M86" s="61">
        <f>AVERAGE('regrets 6 probs'!M86, 'regrets 4 probs'!M86)</f>
        <v>0.5</v>
      </c>
      <c r="N86" s="61"/>
      <c r="O86" s="62"/>
      <c r="P86" s="90"/>
      <c r="Q86" s="61">
        <f>AVERAGE('regrets 6 probs'!Q86, 'regrets 4 probs'!Q86)</f>
        <v>0.5</v>
      </c>
      <c r="R86" s="61">
        <f>AVERAGE('regrets 6 probs'!R86, 'regrets 4 probs'!R86)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AVERAGE('regrets 6 probs'!C87, 'regrets 4 probs'!C87)</f>
        <v>0.5</v>
      </c>
      <c r="D87" s="61">
        <f>AVERAGE('regrets 6 probs'!D87, 'regrets 4 probs'!D87)</f>
        <v>0.5</v>
      </c>
      <c r="E87" s="62"/>
      <c r="F87" s="90"/>
      <c r="G87" s="63"/>
      <c r="H87" s="61">
        <f>AVERAGE('regrets 6 probs'!H87, 'regrets 4 probs'!H87)</f>
        <v>0.5</v>
      </c>
      <c r="I87" s="61">
        <f>AVERAGE('regrets 6 probs'!I87, 'regrets 4 probs'!I87)</f>
        <v>0.5</v>
      </c>
      <c r="J87" s="62"/>
      <c r="K87" s="90"/>
      <c r="L87" s="63"/>
      <c r="M87" s="61">
        <f>AVERAGE('regrets 6 probs'!M87, 'regrets 4 probs'!M87)</f>
        <v>0.5</v>
      </c>
      <c r="N87" s="61">
        <f>AVERAGE('regrets 6 probs'!N87, 'regrets 4 probs'!N87)</f>
        <v>0.5</v>
      </c>
      <c r="O87" s="62"/>
      <c r="P87" s="90"/>
      <c r="Q87" s="63"/>
      <c r="R87" s="61">
        <f>AVERAGE('regrets 6 probs'!R87, 'regrets 4 probs'!R87)</f>
        <v>0.5</v>
      </c>
      <c r="S87" s="61">
        <f>AVERAGE('regrets 6 probs'!S87, 'regrets 4 probs'!S87)</f>
        <v>0.5</v>
      </c>
      <c r="T87" s="62"/>
      <c r="U87" s="90"/>
    </row>
    <row r="88" spans="1:21" ht="20" customHeight="1" x14ac:dyDescent="0.15">
      <c r="A88" s="12">
        <v>19</v>
      </c>
      <c r="B88" s="61">
        <f>AVERAGE('regrets 6 probs'!B88, 'regrets 4 probs'!B88)</f>
        <v>0.5</v>
      </c>
      <c r="C88" s="61">
        <f>AVERAGE('regrets 6 probs'!C88, 'regrets 4 probs'!C88)</f>
        <v>0.5</v>
      </c>
      <c r="D88" s="61"/>
      <c r="E88" s="62"/>
      <c r="F88" s="90"/>
      <c r="G88" s="61">
        <f>AVERAGE('regrets 6 probs'!G88, 'regrets 4 probs'!G88)</f>
        <v>0.5</v>
      </c>
      <c r="H88" s="61">
        <f>AVERAGE('regrets 6 probs'!H88, 'regrets 4 probs'!H88)</f>
        <v>0.5</v>
      </c>
      <c r="I88" s="61"/>
      <c r="J88" s="62"/>
      <c r="K88" s="90"/>
      <c r="L88" s="61">
        <f>AVERAGE('regrets 6 probs'!L88, 'regrets 4 probs'!L88)</f>
        <v>0.5</v>
      </c>
      <c r="M88" s="61">
        <f>AVERAGE('regrets 6 probs'!M88, 'regrets 4 probs'!M88)</f>
        <v>0.5</v>
      </c>
      <c r="N88" s="61"/>
      <c r="O88" s="62"/>
      <c r="P88" s="90"/>
      <c r="Q88" s="61">
        <f>AVERAGE('regrets 6 probs'!Q88, 'regrets 4 probs'!Q88)</f>
        <v>0.5</v>
      </c>
      <c r="R88" s="61">
        <f>AVERAGE('regrets 6 probs'!R88, 'regrets 4 probs'!R88)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AVERAGE('regrets 6 probs'!C89, 'regrets 4 probs'!C89)</f>
        <v>0.5</v>
      </c>
      <c r="D89" s="61">
        <f>AVERAGE('regrets 6 probs'!D89, 'regrets 4 probs'!D89)</f>
        <v>0.5</v>
      </c>
      <c r="E89" s="62"/>
      <c r="F89" s="90"/>
      <c r="G89" s="63"/>
      <c r="H89" s="61">
        <f>AVERAGE('regrets 6 probs'!H89, 'regrets 4 probs'!H89)</f>
        <v>0.5</v>
      </c>
      <c r="I89" s="61">
        <f>AVERAGE('regrets 6 probs'!I89, 'regrets 4 probs'!I89)</f>
        <v>0.5</v>
      </c>
      <c r="J89" s="62"/>
      <c r="K89" s="90"/>
      <c r="L89" s="63"/>
      <c r="M89" s="61">
        <f>AVERAGE('regrets 6 probs'!M89, 'regrets 4 probs'!M89)</f>
        <v>0.5</v>
      </c>
      <c r="N89" s="61">
        <f>AVERAGE('regrets 6 probs'!N89, 'regrets 4 probs'!N89)</f>
        <v>0.5</v>
      </c>
      <c r="O89" s="62"/>
      <c r="P89" s="90"/>
      <c r="Q89" s="63"/>
      <c r="R89" s="61">
        <f>AVERAGE('regrets 6 probs'!R89, 'regrets 4 probs'!R89)</f>
        <v>0.5</v>
      </c>
      <c r="S89" s="61">
        <f>AVERAGE('regrets 6 probs'!S89, 'regrets 4 probs'!S89)</f>
        <v>0.5</v>
      </c>
      <c r="T89" s="62"/>
      <c r="U89" s="90"/>
    </row>
    <row r="90" spans="1:21" ht="20" customHeight="1" x14ac:dyDescent="0.15">
      <c r="A90" s="12">
        <v>21</v>
      </c>
      <c r="B90" s="61">
        <f>AVERAGE('regrets 6 probs'!B90, 'regrets 4 probs'!B90)</f>
        <v>0</v>
      </c>
      <c r="C90" s="61">
        <f>AVERAGE('regrets 6 probs'!C90, 'regrets 4 probs'!C90)</f>
        <v>1</v>
      </c>
      <c r="D90" s="61"/>
      <c r="E90" s="62"/>
      <c r="F90" s="90"/>
      <c r="G90" s="61">
        <f>AVERAGE('regrets 6 probs'!G90, 'regrets 4 probs'!G90)</f>
        <v>0.5</v>
      </c>
      <c r="H90" s="61">
        <f>AVERAGE('regrets 6 probs'!H90, 'regrets 4 probs'!H90)</f>
        <v>0.5</v>
      </c>
      <c r="I90" s="61"/>
      <c r="J90" s="62"/>
      <c r="K90" s="90"/>
      <c r="L90" s="61">
        <f>AVERAGE('regrets 6 probs'!L90, 'regrets 4 probs'!L90)</f>
        <v>0.5</v>
      </c>
      <c r="M90" s="61">
        <f>AVERAGE('regrets 6 probs'!M90, 'regrets 4 probs'!M90)</f>
        <v>0.5</v>
      </c>
      <c r="N90" s="61"/>
      <c r="O90" s="62"/>
      <c r="P90" s="90"/>
      <c r="Q90" s="61">
        <f>AVERAGE('regrets 6 probs'!Q90, 'regrets 4 probs'!Q90)</f>
        <v>0.5</v>
      </c>
      <c r="R90" s="61">
        <f>AVERAGE('regrets 6 probs'!R90, 'regrets 4 probs'!R90)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AVERAGE('regrets 6 probs'!C91, 'regrets 4 probs'!C91)</f>
        <v>0.5</v>
      </c>
      <c r="D91" s="61">
        <f>AVERAGE('regrets 6 probs'!D91, 'regrets 4 probs'!D91)</f>
        <v>0.5</v>
      </c>
      <c r="E91" s="62"/>
      <c r="F91" s="90"/>
      <c r="G91" s="63"/>
      <c r="H91" s="61">
        <f>AVERAGE('regrets 6 probs'!H91, 'regrets 4 probs'!H91)</f>
        <v>0.5</v>
      </c>
      <c r="I91" s="61">
        <f>AVERAGE('regrets 6 probs'!I91, 'regrets 4 probs'!I91)</f>
        <v>0.5</v>
      </c>
      <c r="J91" s="62"/>
      <c r="K91" s="90"/>
      <c r="L91" s="63"/>
      <c r="M91" s="61">
        <f>AVERAGE('regrets 6 probs'!M91, 'regrets 4 probs'!M91)</f>
        <v>0.5</v>
      </c>
      <c r="N91" s="61">
        <f>AVERAGE('regrets 6 probs'!N91, 'regrets 4 probs'!N91)</f>
        <v>0.5</v>
      </c>
      <c r="O91" s="62"/>
      <c r="P91" s="90"/>
      <c r="Q91" s="63"/>
      <c r="R91" s="61">
        <f>AVERAGE('regrets 6 probs'!R91, 'regrets 4 probs'!R91)</f>
        <v>0.5</v>
      </c>
      <c r="S91" s="61">
        <f>AVERAGE('regrets 6 probs'!S91, 'regrets 4 probs'!S91)</f>
        <v>0.5</v>
      </c>
      <c r="T91" s="62"/>
      <c r="U91" s="90"/>
    </row>
    <row r="92" spans="1:21" ht="20" customHeight="1" x14ac:dyDescent="0.15">
      <c r="A92" s="12">
        <v>23</v>
      </c>
      <c r="B92" s="61">
        <f>AVERAGE('regrets 6 probs'!B92, 'regrets 4 probs'!B92)</f>
        <v>0.5</v>
      </c>
      <c r="C92" s="61">
        <f>AVERAGE('regrets 6 probs'!C92, 'regrets 4 probs'!C92)</f>
        <v>0.5</v>
      </c>
      <c r="D92" s="61"/>
      <c r="E92" s="62"/>
      <c r="F92" s="90"/>
      <c r="G92" s="61">
        <f>AVERAGE('regrets 6 probs'!G92, 'regrets 4 probs'!G92)</f>
        <v>0.5</v>
      </c>
      <c r="H92" s="61">
        <f>AVERAGE('regrets 6 probs'!H92, 'regrets 4 probs'!H92)</f>
        <v>0.5</v>
      </c>
      <c r="I92" s="61"/>
      <c r="J92" s="62"/>
      <c r="K92" s="90"/>
      <c r="L92" s="61">
        <f>AVERAGE('regrets 6 probs'!L92, 'regrets 4 probs'!L92)</f>
        <v>0.5</v>
      </c>
      <c r="M92" s="61">
        <f>AVERAGE('regrets 6 probs'!M92, 'regrets 4 probs'!M92)</f>
        <v>0.5</v>
      </c>
      <c r="N92" s="61"/>
      <c r="O92" s="62"/>
      <c r="P92" s="90"/>
      <c r="Q92" s="61">
        <f>AVERAGE('regrets 6 probs'!Q92, 'regrets 4 probs'!Q92)</f>
        <v>0.5</v>
      </c>
      <c r="R92" s="61">
        <f>AVERAGE('regrets 6 probs'!R92, 'regrets 4 probs'!R92)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AVERAGE('regrets 6 probs'!C93, 'regrets 4 probs'!C93)</f>
        <v>0.5</v>
      </c>
      <c r="D93" s="61">
        <f>AVERAGE('regrets 6 probs'!D93, 'regrets 4 probs'!D93)</f>
        <v>0.5</v>
      </c>
      <c r="E93" s="62"/>
      <c r="F93" s="90"/>
      <c r="G93" s="63"/>
      <c r="H93" s="61">
        <f>AVERAGE('regrets 6 probs'!H93, 'regrets 4 probs'!H93)</f>
        <v>0.5</v>
      </c>
      <c r="I93" s="61">
        <f>AVERAGE('regrets 6 probs'!I93, 'regrets 4 probs'!I93)</f>
        <v>0.5</v>
      </c>
      <c r="J93" s="62"/>
      <c r="K93" s="90"/>
      <c r="L93" s="63"/>
      <c r="M93" s="61">
        <f>AVERAGE('regrets 6 probs'!M93, 'regrets 4 probs'!M93)</f>
        <v>0.5</v>
      </c>
      <c r="N93" s="61">
        <f>AVERAGE('regrets 6 probs'!N93, 'regrets 4 probs'!N93)</f>
        <v>0.5</v>
      </c>
      <c r="O93" s="62"/>
      <c r="P93" s="90"/>
      <c r="Q93" s="63"/>
      <c r="R93" s="61">
        <f>AVERAGE('regrets 6 probs'!R93, 'regrets 4 probs'!R93)</f>
        <v>0.5</v>
      </c>
      <c r="S93" s="61">
        <f>AVERAGE('regrets 6 probs'!S93, 'regrets 4 probs'!S93)</f>
        <v>0.5</v>
      </c>
      <c r="T93" s="62"/>
      <c r="U93" s="90"/>
    </row>
    <row r="94" spans="1:21" ht="20" customHeight="1" x14ac:dyDescent="0.15">
      <c r="A94" s="12">
        <v>25</v>
      </c>
      <c r="B94" s="61">
        <f>AVERAGE('regrets 6 probs'!B94, 'regrets 4 probs'!B94)</f>
        <v>0.5</v>
      </c>
      <c r="C94" s="61">
        <f>AVERAGE('regrets 6 probs'!C94, 'regrets 4 probs'!C94)</f>
        <v>0.5</v>
      </c>
      <c r="D94" s="61"/>
      <c r="E94" s="62"/>
      <c r="F94" s="90"/>
      <c r="G94" s="61">
        <f>AVERAGE('regrets 6 probs'!G94, 'regrets 4 probs'!G94)</f>
        <v>0.5</v>
      </c>
      <c r="H94" s="61">
        <f>AVERAGE('regrets 6 probs'!H94, 'regrets 4 probs'!H94)</f>
        <v>0.5</v>
      </c>
      <c r="I94" s="61"/>
      <c r="J94" s="62"/>
      <c r="K94" s="90"/>
      <c r="L94" s="61">
        <f>AVERAGE('regrets 6 probs'!L94, 'regrets 4 probs'!L94)</f>
        <v>0.5</v>
      </c>
      <c r="M94" s="61">
        <f>AVERAGE('regrets 6 probs'!M94, 'regrets 4 probs'!M94)</f>
        <v>0.5</v>
      </c>
      <c r="N94" s="61"/>
      <c r="O94" s="62"/>
      <c r="P94" s="90"/>
      <c r="Q94" s="61">
        <f>AVERAGE('regrets 6 probs'!Q94, 'regrets 4 probs'!Q94)</f>
        <v>0.5</v>
      </c>
      <c r="R94" s="61">
        <f>AVERAGE('regrets 6 probs'!R94, 'regrets 4 probs'!R94)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AVERAGE('regrets 6 probs'!B95, 'regrets 4 probs'!B95)</f>
        <v>0.5</v>
      </c>
      <c r="C95" s="61">
        <f>AVERAGE('regrets 6 probs'!C95, 'regrets 4 probs'!C95)</f>
        <v>0.5</v>
      </c>
      <c r="D95" s="61"/>
      <c r="E95" s="62"/>
      <c r="F95" s="90"/>
      <c r="G95" s="61">
        <f>AVERAGE('regrets 6 probs'!G95, 'regrets 4 probs'!G95)</f>
        <v>0.5</v>
      </c>
      <c r="H95" s="61">
        <f>AVERAGE('regrets 6 probs'!H95, 'regrets 4 probs'!H95)</f>
        <v>0.5</v>
      </c>
      <c r="I95" s="61"/>
      <c r="J95" s="62"/>
      <c r="K95" s="90"/>
      <c r="L95" s="61">
        <f>AVERAGE('regrets 6 probs'!L95, 'regrets 4 probs'!L95)</f>
        <v>0.5</v>
      </c>
      <c r="M95" s="61">
        <f>AVERAGE('regrets 6 probs'!M95, 'regrets 4 probs'!M95)</f>
        <v>0.5</v>
      </c>
      <c r="N95" s="61"/>
      <c r="O95" s="62"/>
      <c r="P95" s="90"/>
      <c r="Q95" s="61">
        <f>AVERAGE('regrets 6 probs'!Q95, 'regrets 4 probs'!Q95)</f>
        <v>0.5</v>
      </c>
      <c r="R95" s="61">
        <f>AVERAGE('regrets 6 probs'!R95, 'regrets 4 probs'!R95)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AVERAGE('regrets 6 probs'!B96, 'regrets 4 probs'!B96)</f>
        <v>0.5</v>
      </c>
      <c r="C96" s="61">
        <f>AVERAGE('regrets 6 probs'!C96, 'regrets 4 probs'!C96)</f>
        <v>0.5</v>
      </c>
      <c r="D96" s="61"/>
      <c r="E96" s="62"/>
      <c r="F96" s="90"/>
      <c r="G96" s="61">
        <f>AVERAGE('regrets 6 probs'!G96, 'regrets 4 probs'!G96)</f>
        <v>0.5</v>
      </c>
      <c r="H96" s="61">
        <f>AVERAGE('regrets 6 probs'!H96, 'regrets 4 probs'!H96)</f>
        <v>0.5</v>
      </c>
      <c r="I96" s="61"/>
      <c r="J96" s="62"/>
      <c r="K96" s="90"/>
      <c r="L96" s="61">
        <f>AVERAGE('regrets 6 probs'!L96, 'regrets 4 probs'!L96)</f>
        <v>0.5</v>
      </c>
      <c r="M96" s="61">
        <f>AVERAGE('regrets 6 probs'!M96, 'regrets 4 probs'!M96)</f>
        <v>0.5</v>
      </c>
      <c r="N96" s="61"/>
      <c r="O96" s="62"/>
      <c r="P96" s="90"/>
      <c r="Q96" s="61">
        <f>AVERAGE('regrets 6 probs'!Q96, 'regrets 4 probs'!Q96)</f>
        <v>0.5</v>
      </c>
      <c r="R96" s="61">
        <f>AVERAGE('regrets 6 probs'!R96, 'regrets 4 probs'!R96)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AVERAGE('regrets 6 probs'!C97, 'regrets 4 probs'!C97)</f>
        <v>0.5</v>
      </c>
      <c r="D97" s="61">
        <f>AVERAGE('regrets 6 probs'!D97, 'regrets 4 probs'!D97)</f>
        <v>0.5</v>
      </c>
      <c r="E97" s="62"/>
      <c r="F97" s="90"/>
      <c r="G97" s="63"/>
      <c r="H97" s="61">
        <f>AVERAGE('regrets 6 probs'!H97, 'regrets 4 probs'!H97)</f>
        <v>0.5</v>
      </c>
      <c r="I97" s="61">
        <f>AVERAGE('regrets 6 probs'!I97, 'regrets 4 probs'!I97)</f>
        <v>0.5</v>
      </c>
      <c r="J97" s="62"/>
      <c r="K97" s="90"/>
      <c r="L97" s="63"/>
      <c r="M97" s="61">
        <f>AVERAGE('regrets 6 probs'!M97, 'regrets 4 probs'!M97)</f>
        <v>0.5</v>
      </c>
      <c r="N97" s="61">
        <f>AVERAGE('regrets 6 probs'!N97, 'regrets 4 probs'!N97)</f>
        <v>0.5</v>
      </c>
      <c r="O97" s="62"/>
      <c r="P97" s="90"/>
      <c r="Q97" s="63"/>
      <c r="R97" s="61">
        <f>AVERAGE('regrets 6 probs'!R97, 'regrets 4 probs'!R97)</f>
        <v>0.5</v>
      </c>
      <c r="S97" s="61">
        <f>AVERAGE('regrets 6 probs'!S97, 'regrets 4 probs'!S97)</f>
        <v>0.5</v>
      </c>
      <c r="T97" s="62"/>
      <c r="U97" s="90"/>
    </row>
    <row r="98" spans="1:21" ht="20" customHeight="1" x14ac:dyDescent="0.15">
      <c r="A98" s="12">
        <v>29</v>
      </c>
      <c r="B98" s="61">
        <f>AVERAGE('regrets 6 probs'!B98, 'regrets 4 probs'!B98)</f>
        <v>0.5</v>
      </c>
      <c r="C98" s="61">
        <f>AVERAGE('regrets 6 probs'!C98, 'regrets 4 probs'!C98)</f>
        <v>0.5</v>
      </c>
      <c r="D98" s="61"/>
      <c r="E98" s="62"/>
      <c r="F98" s="90"/>
      <c r="G98" s="61">
        <f>AVERAGE('regrets 6 probs'!G98, 'regrets 4 probs'!G98)</f>
        <v>0.5</v>
      </c>
      <c r="H98" s="61">
        <f>AVERAGE('regrets 6 probs'!H98, 'regrets 4 probs'!H98)</f>
        <v>0.5</v>
      </c>
      <c r="I98" s="61"/>
      <c r="J98" s="62"/>
      <c r="K98" s="90"/>
      <c r="L98" s="61">
        <f>AVERAGE('regrets 6 probs'!L98, 'regrets 4 probs'!L98)</f>
        <v>0.5</v>
      </c>
      <c r="M98" s="61">
        <f>AVERAGE('regrets 6 probs'!M98, 'regrets 4 probs'!M98)</f>
        <v>0.5</v>
      </c>
      <c r="N98" s="61"/>
      <c r="O98" s="62"/>
      <c r="P98" s="90"/>
      <c r="Q98" s="61">
        <f>AVERAGE('regrets 6 probs'!Q98, 'regrets 4 probs'!Q98)</f>
        <v>0.5</v>
      </c>
      <c r="R98" s="61">
        <f>AVERAGE('regrets 6 probs'!R98, 'regrets 4 probs'!R98)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AVERAGE('regrets 6 probs'!B99, 'regrets 4 probs'!B99)</f>
        <v>0.5</v>
      </c>
      <c r="C99" s="61">
        <f>AVERAGE('regrets 6 probs'!C99, 'regrets 4 probs'!C99)</f>
        <v>0.5</v>
      </c>
      <c r="D99" s="61"/>
      <c r="E99" s="62"/>
      <c r="F99" s="90"/>
      <c r="G99" s="61">
        <f>AVERAGE('regrets 6 probs'!G99, 'regrets 4 probs'!G99)</f>
        <v>0.5</v>
      </c>
      <c r="H99" s="61">
        <f>AVERAGE('regrets 6 probs'!H99, 'regrets 4 probs'!H99)</f>
        <v>0.5</v>
      </c>
      <c r="I99" s="61"/>
      <c r="J99" s="62"/>
      <c r="K99" s="90"/>
      <c r="L99" s="61">
        <f>AVERAGE('regrets 6 probs'!L99, 'regrets 4 probs'!L99)</f>
        <v>0.5</v>
      </c>
      <c r="M99" s="61">
        <f>AVERAGE('regrets 6 probs'!M99, 'regrets 4 probs'!M99)</f>
        <v>0.5</v>
      </c>
      <c r="N99" s="61"/>
      <c r="O99" s="62"/>
      <c r="P99" s="90"/>
      <c r="Q99" s="61">
        <f>AVERAGE('regrets 6 probs'!Q99, 'regrets 4 probs'!Q99)</f>
        <v>0.5</v>
      </c>
      <c r="R99" s="61">
        <f>AVERAGE('regrets 6 probs'!R99, 'regrets 4 probs'!R99)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AVERAGE('regrets 6 probs'!B100, 'regrets 4 probs'!B100)</f>
        <v>0.5</v>
      </c>
      <c r="C100" s="61">
        <f>AVERAGE('regrets 6 probs'!C100, 'regrets 4 probs'!C100)</f>
        <v>0.5</v>
      </c>
      <c r="D100" s="61"/>
      <c r="E100" s="62"/>
      <c r="F100" s="90"/>
      <c r="G100" s="61">
        <f>AVERAGE('regrets 6 probs'!G100, 'regrets 4 probs'!G100)</f>
        <v>0.5</v>
      </c>
      <c r="H100" s="61">
        <f>AVERAGE('regrets 6 probs'!H100, 'regrets 4 probs'!H100)</f>
        <v>0.5</v>
      </c>
      <c r="I100" s="61"/>
      <c r="J100" s="62"/>
      <c r="K100" s="90"/>
      <c r="L100" s="61">
        <f>AVERAGE('regrets 6 probs'!L100, 'regrets 4 probs'!L100)</f>
        <v>0.5</v>
      </c>
      <c r="M100" s="61">
        <f>AVERAGE('regrets 6 probs'!M100, 'regrets 4 probs'!M100)</f>
        <v>0.5</v>
      </c>
      <c r="N100" s="61"/>
      <c r="O100" s="62"/>
      <c r="P100" s="90"/>
      <c r="Q100" s="61">
        <f>AVERAGE('regrets 6 probs'!Q100, 'regrets 4 probs'!Q100)</f>
        <v>0.5</v>
      </c>
      <c r="R100" s="61">
        <f>AVERAGE('regrets 6 probs'!R100, 'regrets 4 probs'!R100)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AVERAGE('regrets 6 probs'!C101, 'regrets 4 probs'!C101)</f>
        <v>0.5</v>
      </c>
      <c r="D101" s="61">
        <f>AVERAGE('regrets 6 probs'!D101, 'regrets 4 probs'!D101)</f>
        <v>0.5</v>
      </c>
      <c r="E101" s="62"/>
      <c r="F101" s="90"/>
      <c r="G101" s="63"/>
      <c r="H101" s="61">
        <f>AVERAGE('regrets 6 probs'!H101, 'regrets 4 probs'!H101)</f>
        <v>0.5</v>
      </c>
      <c r="I101" s="61">
        <f>AVERAGE('regrets 6 probs'!I101, 'regrets 4 probs'!I101)</f>
        <v>0.5</v>
      </c>
      <c r="J101" s="62"/>
      <c r="K101" s="90"/>
      <c r="L101" s="63"/>
      <c r="M101" s="61">
        <f>AVERAGE('regrets 6 probs'!M101, 'regrets 4 probs'!M101)</f>
        <v>0.5</v>
      </c>
      <c r="N101" s="61">
        <f>AVERAGE('regrets 6 probs'!N101, 'regrets 4 probs'!N101)</f>
        <v>0.5</v>
      </c>
      <c r="O101" s="62"/>
      <c r="P101" s="90"/>
      <c r="Q101" s="63"/>
      <c r="R101" s="61">
        <f>AVERAGE('regrets 6 probs'!R101, 'regrets 4 probs'!R101)</f>
        <v>0.5</v>
      </c>
      <c r="S101" s="61">
        <f>AVERAGE('regrets 6 probs'!S101, 'regrets 4 probs'!S101)</f>
        <v>0.5</v>
      </c>
      <c r="T101" s="62"/>
      <c r="U101" s="90"/>
    </row>
    <row r="102" spans="1:21" ht="20" customHeight="1" x14ac:dyDescent="0.15">
      <c r="A102" s="12">
        <v>33</v>
      </c>
      <c r="B102" s="61">
        <f>AVERAGE('regrets 6 probs'!B102, 'regrets 4 probs'!B102)</f>
        <v>0.5</v>
      </c>
      <c r="C102" s="61">
        <f>AVERAGE('regrets 6 probs'!C102, 'regrets 4 probs'!C102)</f>
        <v>0.5</v>
      </c>
      <c r="D102" s="61"/>
      <c r="E102" s="62"/>
      <c r="F102" s="90"/>
      <c r="G102" s="61">
        <f>AVERAGE('regrets 6 probs'!G102, 'regrets 4 probs'!G102)</f>
        <v>0.5</v>
      </c>
      <c r="H102" s="61">
        <f>AVERAGE('regrets 6 probs'!H102, 'regrets 4 probs'!H102)</f>
        <v>0.5</v>
      </c>
      <c r="I102" s="61"/>
      <c r="J102" s="62"/>
      <c r="K102" s="90"/>
      <c r="L102" s="61">
        <f>AVERAGE('regrets 6 probs'!L102, 'regrets 4 probs'!L102)</f>
        <v>0.5</v>
      </c>
      <c r="M102" s="61">
        <f>AVERAGE('regrets 6 probs'!M102, 'regrets 4 probs'!M102)</f>
        <v>0.5</v>
      </c>
      <c r="N102" s="61"/>
      <c r="O102" s="62"/>
      <c r="P102" s="90"/>
      <c r="Q102" s="61">
        <f>AVERAGE('regrets 6 probs'!Q102, 'regrets 4 probs'!Q102)</f>
        <v>0.5</v>
      </c>
      <c r="R102" s="61">
        <f>AVERAGE('regrets 6 probs'!R102, 'regrets 4 probs'!R102)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AVERAGE('regrets 6 probs'!B103, 'regrets 4 probs'!B103)</f>
        <v>0.5</v>
      </c>
      <c r="C103" s="61">
        <f>AVERAGE('regrets 6 probs'!C103, 'regrets 4 probs'!C103)</f>
        <v>0.5</v>
      </c>
      <c r="D103" s="61"/>
      <c r="E103" s="62"/>
      <c r="F103" s="90"/>
      <c r="G103" s="61">
        <f>AVERAGE('regrets 6 probs'!G103, 'regrets 4 probs'!G103)</f>
        <v>0.5</v>
      </c>
      <c r="H103" s="61">
        <f>AVERAGE('regrets 6 probs'!H103, 'regrets 4 probs'!H103)</f>
        <v>0.5</v>
      </c>
      <c r="I103" s="61"/>
      <c r="J103" s="62"/>
      <c r="K103" s="90"/>
      <c r="L103" s="61">
        <f>AVERAGE('regrets 6 probs'!L103, 'regrets 4 probs'!L103)</f>
        <v>0.5</v>
      </c>
      <c r="M103" s="61">
        <f>AVERAGE('regrets 6 probs'!M103, 'regrets 4 probs'!M103)</f>
        <v>0.5</v>
      </c>
      <c r="N103" s="61"/>
      <c r="O103" s="62"/>
      <c r="P103" s="90"/>
      <c r="Q103" s="61">
        <f>AVERAGE('regrets 6 probs'!Q103, 'regrets 4 probs'!Q103)</f>
        <v>0.5</v>
      </c>
      <c r="R103" s="61">
        <f>AVERAGE('regrets 6 probs'!R103, 'regrets 4 probs'!R103)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AVERAGE('regrets 6 probs'!B104, 'regrets 4 probs'!B104)</f>
        <v>0.5</v>
      </c>
      <c r="C104" s="61">
        <f>AVERAGE('regrets 6 probs'!C104, 'regrets 4 probs'!C104)</f>
        <v>0.5</v>
      </c>
      <c r="D104" s="61"/>
      <c r="E104" s="62"/>
      <c r="F104" s="90"/>
      <c r="G104" s="61">
        <f>AVERAGE('regrets 6 probs'!G104, 'regrets 4 probs'!G104)</f>
        <v>0.5</v>
      </c>
      <c r="H104" s="61">
        <f>AVERAGE('regrets 6 probs'!H104, 'regrets 4 probs'!H104)</f>
        <v>0.5</v>
      </c>
      <c r="I104" s="61"/>
      <c r="J104" s="62"/>
      <c r="K104" s="90"/>
      <c r="L104" s="61">
        <f>AVERAGE('regrets 6 probs'!L104, 'regrets 4 probs'!L104)</f>
        <v>0.5</v>
      </c>
      <c r="M104" s="61">
        <f>AVERAGE('regrets 6 probs'!M104, 'regrets 4 probs'!M104)</f>
        <v>0.5</v>
      </c>
      <c r="N104" s="61"/>
      <c r="O104" s="62"/>
      <c r="P104" s="90"/>
      <c r="Q104" s="61">
        <f>AVERAGE('regrets 6 probs'!Q104, 'regrets 4 probs'!Q104)</f>
        <v>0.5</v>
      </c>
      <c r="R104" s="61">
        <f>AVERAGE('regrets 6 probs'!R104, 'regrets 4 probs'!R104)</f>
        <v>0.5</v>
      </c>
      <c r="S104" s="61"/>
      <c r="T104" s="62"/>
      <c r="U104" s="9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BFF5-04F3-664B-B687-218D17FF991A}">
  <sheetPr codeName="Sheet6">
    <pageSetUpPr fitToPage="1"/>
  </sheetPr>
  <dimension ref="A1:U104"/>
  <sheetViews>
    <sheetView showGridLines="0" zoomScale="75" zoomScaleNormal="90" workbookViewId="0">
      <pane xSplit="1" ySplit="2" topLeftCell="B3" activePane="bottomRight" state="frozen"/>
      <selection pane="topRight"/>
      <selection pane="bottomLeft"/>
      <selection pane="bottomRight" activeCell="E5" sqref="E5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f>IF(SUMIF('regrets 6'!$B3:$F3, "&gt;0") &gt; 0, MAX('regrets 6'!B3, 0) / SUMIF('regrets 6'!$B3:$F3, "&gt;0"), 1 / COUNT('regrets 6'!$B3:$F3))</f>
        <v>1</v>
      </c>
      <c r="C3" s="64">
        <f>MAX('regrets 6'!C3, 0) / SUMIF('regrets 6'!$B3:$F3, "&gt;0")</f>
        <v>0</v>
      </c>
      <c r="D3" s="64">
        <f>MAX('regrets 6'!D3, 0) / SUMIF('regrets 6'!$B3:$F3, "&gt;0")</f>
        <v>0</v>
      </c>
      <c r="E3" s="58"/>
      <c r="F3" s="80"/>
      <c r="G3" s="64">
        <f>IF(SUMIF('regrets 6'!$G3:$K3, "&gt;0") &gt; 0, MAX('regrets 6'!G3, 0) / SUMIF('regrets 6'!$G3:$K3, "&gt;0"), 1 / COUNT('regrets 6'!$G3:$K3))</f>
        <v>4.8053349024222806E-3</v>
      </c>
      <c r="H3" s="64">
        <f>IF(SUMIF('regrets 6'!$G3:$K3, "&gt;0") &gt; 0, MAX('regrets 6'!H3, 0) / SUMIF('regrets 6'!$G3:$K3, "&gt;0"), 1 / COUNT('regrets 6'!$G3:$K3))</f>
        <v>0.50985583995292738</v>
      </c>
      <c r="I3" s="64">
        <f>IF(SUMIF('regrets 6'!$G3:$K3, "&gt;0") &gt; 0, MAX('regrets 6'!I3, 0) / SUMIF('regrets 6'!$G3:$K3, "&gt;0"), 1 / COUNT('regrets 6'!$G3:$K3))</f>
        <v>0.48533882514465038</v>
      </c>
      <c r="J3" s="58"/>
      <c r="K3" s="80"/>
      <c r="L3" s="60">
        <f>IF(SUMIF('regrets 6'!$L3:$P3, "&gt;0") &gt; 0, MAX('regrets 6'!L3, 0) / SUMIF('regrets 6'!$L3:$P3, "&gt;0"), 1 / COUNT('regrets 6'!$L3:$P3))</f>
        <v>0.33333333333333331</v>
      </c>
      <c r="M3" s="60">
        <f>IF(SUMIF('regrets 6'!$L3:$P3, "&gt;0") &gt; 0, MAX('regrets 6'!M3, 0) / SUMIF('regrets 6'!$L3:$P3, "&gt;0"), 1 / COUNT('regrets 6'!$L3:$P3))</f>
        <v>0.33333333333333331</v>
      </c>
      <c r="N3" s="60">
        <f>IF(SUMIF('regrets 6'!$L3:$P3, "&gt;0") &gt; 0, MAX('regrets 6'!N3, 0) / SUMIF('regrets 6'!$L3:$P3, "&gt;0"), 1 / COUNT('regrets 6'!$L3:$P3))</f>
        <v>0.33333333333333331</v>
      </c>
      <c r="O3" s="58"/>
      <c r="P3" s="80"/>
      <c r="Q3" s="60">
        <f>IF(SUMIF('regrets 6'!$Q3:$U3, "&gt;0") &gt; 0, MAX('regrets 6'!Q3, 0) / SUMIF('regrets 6'!$Q3:$U3, "&gt;0"), 1 / COUNT('regrets 6'!$Q3:$U3))</f>
        <v>0.36998223801065722</v>
      </c>
      <c r="R3" s="60">
        <f>IF(SUMIF('regrets 6'!$Q3:$U3, "&gt;0") &gt; 0, MAX('regrets 6'!R3, 0) / SUMIF('regrets 6'!$Q3:$U3, "&gt;0"), 1 / COUNT('regrets 6'!$Q3:$U3))</f>
        <v>0.37229129662522203</v>
      </c>
      <c r="S3" s="60">
        <f>IF(SUMIF('regrets 6'!$Q3:$U3, "&gt;0") &gt; 0, MAX('regrets 6'!S3, 0) / SUMIF('regrets 6'!$Q3:$U3, "&gt;0"), 1 / COUNT('regrets 6'!$Q3:$U3))</f>
        <v>0.2577264653641208</v>
      </c>
      <c r="T3" s="58"/>
      <c r="U3" s="80"/>
    </row>
    <row r="4" spans="1:21" ht="20" customHeight="1" x14ac:dyDescent="0.15">
      <c r="A4" s="12">
        <v>1</v>
      </c>
      <c r="B4" s="61">
        <f>IF(SUMIF('regrets 6'!$B4:$F4, "&gt;0") &gt; 0, MAX('regrets 6'!B4, 0) / SUMIF('regrets 6'!$B4:$F4, "&gt;0"), 1 / COUNT('regrets 6'!$B4:$F4))</f>
        <v>0.33333333333333331</v>
      </c>
      <c r="C4" s="61">
        <f>IF(SUMIF('regrets 6'!$B4:$F4, "&gt;0") &gt; 0, MAX('regrets 6'!C4, 0) / SUMIF('regrets 6'!$B4:$F4, "&gt;0"), 1 / COUNT('regrets 6'!$B4:$F4))</f>
        <v>0.33333333333333331</v>
      </c>
      <c r="D4" s="61">
        <f>IF(SUMIF('regrets 6'!$B4:$F4, "&gt;0") &gt; 0, MAX('regrets 6'!D4, 0) / SUMIF('regrets 6'!$B4:$F4, "&gt;0"), 1 / COUNT('regrets 6'!$B4:$F4))</f>
        <v>0.33333333333333331</v>
      </c>
      <c r="E4" s="62"/>
      <c r="F4" s="81"/>
      <c r="G4" s="60">
        <f>IF(SUMIF('regrets 6'!$G4:$K4, "&gt;0") &gt; 0, MAX('regrets 6'!G4, 0) / SUMIF('regrets 6'!$G4:$K4, "&gt;0"), 1 / COUNT('regrets 6'!$G4:$K4))</f>
        <v>1</v>
      </c>
      <c r="H4" s="60">
        <f>IF(SUMIF('regrets 6'!$G4:$K4, "&gt;0") &gt; 0, MAX('regrets 6'!H4, 0) / SUMIF('regrets 6'!$G4:$K4, "&gt;0"), 1 / COUNT('regrets 6'!$G4:$K4))</f>
        <v>0</v>
      </c>
      <c r="I4" s="60">
        <f>IF(SUMIF('regrets 6'!$G4:$K4, "&gt;0") &gt; 0, MAX('regrets 6'!I4, 0) / SUMIF('regrets 6'!$G4:$K4, "&gt;0"), 1 / COUNT('regrets 6'!$G4:$K4))</f>
        <v>0</v>
      </c>
      <c r="J4" s="62"/>
      <c r="K4" s="81"/>
      <c r="L4" s="60">
        <f>IF(SUMIF('regrets 6'!$L4:$P4, "&gt;0") &gt; 0, MAX('regrets 6'!L4, 0) / SUMIF('regrets 6'!$L4:$P4, "&gt;0"), 1 / COUNT('regrets 6'!$L4:$P4))</f>
        <v>0.32812708583633693</v>
      </c>
      <c r="M4" s="60">
        <f>IF(SUMIF('regrets 6'!$L4:$P4, "&gt;0") &gt; 0, MAX('regrets 6'!M4, 0) / SUMIF('regrets 6'!$L4:$P4, "&gt;0"), 1 / COUNT('regrets 6'!$L4:$P4))</f>
        <v>0</v>
      </c>
      <c r="N4" s="60">
        <f>IF(SUMIF('regrets 6'!$L4:$P4, "&gt;0") &gt; 0, MAX('regrets 6'!N4, 0) / SUMIF('regrets 6'!$L4:$P4, "&gt;0"), 1 / COUNT('regrets 6'!$L4:$P4))</f>
        <v>0.67187291416366302</v>
      </c>
      <c r="O4" s="62"/>
      <c r="P4" s="81"/>
      <c r="Q4" s="60">
        <f>IF(SUMIF('regrets 6'!$Q4:$U4, "&gt;0") &gt; 0, MAX('regrets 6'!Q4, 0) / SUMIF('regrets 6'!$Q4:$U4, "&gt;0"), 1 / COUNT('regrets 6'!$Q4:$U4))</f>
        <v>0.33333333333333331</v>
      </c>
      <c r="R4" s="61">
        <f>IF(SUMIF('regrets 6'!$Q4:$U4, "&gt;0") &gt; 0, MAX('regrets 6'!R4, 0) / SUMIF('regrets 6'!$Q4:$U4, "&gt;0"), 1 / COUNT('regrets 6'!$Q4:$U4))</f>
        <v>0.33333333333333331</v>
      </c>
      <c r="S4" s="61">
        <f>IF(SUMIF('regrets 6'!$Q4:$U4, "&gt;0") &gt; 0, MAX('regrets 6'!S4, 0) / SUMIF('regrets 6'!$Q4:$U4, "&gt;0"), 1 / COUNT('regrets 6'!$Q4:$U4))</f>
        <v>0.33333333333333331</v>
      </c>
      <c r="T4" s="62"/>
      <c r="U4" s="81"/>
    </row>
    <row r="5" spans="1:21" ht="20" customHeight="1" x14ac:dyDescent="0.15">
      <c r="A5" s="12">
        <v>2</v>
      </c>
      <c r="B5" s="61">
        <f>IF(SUMIF('regrets 6'!$B5:$F5, "&gt;0") &gt; 0, MAX('regrets 6'!B5, 0) / SUMIF('regrets 6'!$B5:$F5, "&gt;0"), 1 / COUNT('regrets 6'!$B5:$F5))</f>
        <v>0.5</v>
      </c>
      <c r="C5" s="61">
        <f>IF(SUMIF('regrets 6'!$B5:$F5, "&gt;0") &gt; 0, MAX('regrets 6'!C5, 0) / SUMIF('regrets 6'!$B5:$F5, "&gt;0"), 1 / COUNT('regrets 6'!$B5:$F5))</f>
        <v>0.5</v>
      </c>
      <c r="D5" s="61"/>
      <c r="E5" s="62"/>
      <c r="F5" s="81"/>
      <c r="G5" s="60">
        <f>IF(SUMIF('regrets 6'!$G5:$K5, "&gt;0") &gt; 0, MAX('regrets 6'!G5, 0) / SUMIF('regrets 6'!$G5:$K5, "&gt;0"), 1 / COUNT('regrets 6'!$G5:$K5))</f>
        <v>0.5</v>
      </c>
      <c r="H5" s="60">
        <f>IF(SUMIF('regrets 6'!$G5:$K5, "&gt;0") &gt; 0, MAX('regrets 6'!H5, 0) / SUMIF('regrets 6'!$G5:$K5, "&gt;0"), 1 / COUNT('regrets 6'!$G5:$K5))</f>
        <v>0.5</v>
      </c>
      <c r="I5" s="61"/>
      <c r="J5" s="62"/>
      <c r="K5" s="81"/>
      <c r="L5" s="60">
        <f>IF(SUMIF('regrets 6'!$L5:$P5, "&gt;0") &gt; 0, MAX('regrets 6'!L5, 0) / SUMIF('regrets 6'!$L5:$P5, "&gt;0"), 1 / COUNT('regrets 6'!$L5:$P5))</f>
        <v>0.5</v>
      </c>
      <c r="M5" s="60">
        <f>IF(SUMIF('regrets 6'!$L5:$P5, "&gt;0") &gt; 0, MAX('regrets 6'!M5, 0) / SUMIF('regrets 6'!$L5:$P5, "&gt;0"), 1 / COUNT('regrets 6'!$L5:$P5))</f>
        <v>0.5</v>
      </c>
      <c r="N5" s="61"/>
      <c r="O5" s="62"/>
      <c r="P5" s="81"/>
      <c r="Q5" s="60">
        <f>IF(SUMIF('regrets 6'!$Q5:$U5, "&gt;0") &gt; 0, MAX('regrets 6'!Q5, 0) / SUMIF('regrets 6'!$Q5:$U5, "&gt;0"), 1 / COUNT('regrets 6'!$Q5:$U5))</f>
        <v>0</v>
      </c>
      <c r="R5" s="60">
        <f>IF(SUMIF('regrets 6'!$Q5:$U5, "&gt;0") &gt; 0, MAX('regrets 6'!R5, 0) / SUMIF('regrets 6'!$Q5:$U5, "&gt;0"), 1 / COUNT('regrets 6'!$Q5:$U5))</f>
        <v>1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f>IF(SUMIF('regrets 6'!$B6:$F6, "&gt;0") &gt; 0, MAX('regrets 6'!C6, 0) / SUMIF('regrets 6'!$B6:$F6, "&gt;0"), 1 / COUNT('regrets 6'!$B6:$F6))</f>
        <v>0.5</v>
      </c>
      <c r="D6" s="61">
        <f>IF(SUMIF('regrets 6'!$B6:$F6, "&gt;0") &gt; 0, MAX('regrets 6'!D6, 0) / SUMIF('regrets 6'!$B6:$F6, "&gt;0"), 1 / COUNT('regrets 6'!$B6:$F6))</f>
        <v>0.5</v>
      </c>
      <c r="E6" s="62"/>
      <c r="F6" s="81"/>
      <c r="G6" s="60"/>
      <c r="H6" s="60">
        <f>IF(SUMIF('regrets 6'!$G6:$K6, "&gt;0") &gt; 0, MAX('regrets 6'!H6, 0) / SUMIF('regrets 6'!$G6:$K6, "&gt;0"), 1 / COUNT('regrets 6'!$G6:$K6))</f>
        <v>0.5</v>
      </c>
      <c r="I6" s="60">
        <f>IF(SUMIF('regrets 6'!$G6:$K6, "&gt;0") &gt; 0, MAX('regrets 6'!I6, 0) / SUMIF('regrets 6'!$G6:$K6, "&gt;0"), 1 / COUNT('regrets 6'!$G6:$K6))</f>
        <v>0.5</v>
      </c>
      <c r="J6" s="62"/>
      <c r="K6" s="81"/>
      <c r="L6" s="60"/>
      <c r="M6" s="60">
        <f>IF(SUMIF('regrets 6'!$L6:$P6, "&gt;0") &gt; 0, MAX('regrets 6'!M6, 0) / SUMIF('regrets 6'!$L6:$P6, "&gt;0"), 1 / COUNT('regrets 6'!$L6:$P6))</f>
        <v>0.5</v>
      </c>
      <c r="N6" s="60">
        <f>IF(SUMIF('regrets 6'!$L6:$P6, "&gt;0") &gt; 0, MAX('regrets 6'!N6, 0) / SUMIF('regrets 6'!$L6:$P6, "&gt;0"), 1 / COUNT('regrets 6'!$L6:$P6))</f>
        <v>0.5</v>
      </c>
      <c r="O6" s="62"/>
      <c r="P6" s="81"/>
      <c r="Q6" s="60"/>
      <c r="R6" s="60">
        <f>IF(SUMIF('regrets 6'!$Q6:$U6, "&gt;0") &gt; 0, MAX('regrets 6'!R6, 0) / SUMIF('regrets 6'!$Q6:$U6, "&gt;0"), 1 / COUNT('regrets 6'!$Q6:$U6))</f>
        <v>0.5</v>
      </c>
      <c r="S6" s="60">
        <f>IF(SUMIF('regrets 6'!$Q6:$U6, "&gt;0") &gt; 0, MAX('regrets 6'!S6, 0) / SUMIF('regrets 6'!$Q6:$U6, "&gt;0"), 1 / COUNT('regrets 6'!$Q6:$U6))</f>
        <v>0.5</v>
      </c>
      <c r="T6" s="62"/>
      <c r="U6" s="81"/>
    </row>
    <row r="7" spans="1:21" ht="20" customHeight="1" x14ac:dyDescent="0.15">
      <c r="A7" s="12">
        <v>4</v>
      </c>
      <c r="B7" s="61">
        <f>IF(SUMIF('regrets 6'!$B7:$F7, "&gt;0") &gt; 0, MAX('regrets 6'!B7, 0) / SUMIF('regrets 6'!$B7:$F7, "&gt;0"), 1 / COUNT('regrets 6'!$B7:$F7))</f>
        <v>0.5</v>
      </c>
      <c r="C7" s="61">
        <f>IF(SUMIF('regrets 6'!$B7:$F7, "&gt;0") &gt; 0, MAX('regrets 6'!C7, 0) / SUMIF('regrets 6'!$B7:$F7, "&gt;0"), 1 / COUNT('regrets 6'!$B7:$F7))</f>
        <v>0.5</v>
      </c>
      <c r="D7" s="61"/>
      <c r="E7" s="62"/>
      <c r="F7" s="81"/>
      <c r="G7" s="60">
        <f>IF(SUMIF('regrets 6'!$G7:$K7, "&gt;0") &gt; 0, MAX('regrets 6'!G7, 0) / SUMIF('regrets 6'!$G7:$K7, "&gt;0"), 1 / COUNT('regrets 6'!$G7:$K7))</f>
        <v>0.5</v>
      </c>
      <c r="H7" s="60">
        <f>IF(SUMIF('regrets 6'!$G7:$K7, "&gt;0") &gt; 0, MAX('regrets 6'!H7, 0) / SUMIF('regrets 6'!$G7:$K7, "&gt;0"), 1 / COUNT('regrets 6'!$G7:$K7))</f>
        <v>0.5</v>
      </c>
      <c r="I7" s="61"/>
      <c r="J7" s="62"/>
      <c r="K7" s="81"/>
      <c r="L7" s="60">
        <f>IF(SUMIF('regrets 6'!$L7:$P7, "&gt;0") &gt; 0, MAX('regrets 6'!L7, 0) / SUMIF('regrets 6'!$L7:$P7, "&gt;0"), 1 / COUNT('regrets 6'!$L7:$P7))</f>
        <v>0.5</v>
      </c>
      <c r="M7" s="60">
        <f>IF(SUMIF('regrets 6'!$L7:$P7, "&gt;0") &gt; 0, MAX('regrets 6'!M7, 0) / SUMIF('regrets 6'!$L7:$P7, "&gt;0"), 1 / COUNT('regrets 6'!$L7:$P7))</f>
        <v>0.5</v>
      </c>
      <c r="N7" s="61"/>
      <c r="O7" s="62"/>
      <c r="P7" s="81"/>
      <c r="Q7" s="60">
        <f>IF(SUMIF('regrets 6'!$Q7:$U7, "&gt;0") &gt; 0, MAX('regrets 6'!Q7, 0) / SUMIF('regrets 6'!$Q7:$U7, "&gt;0"), 1 / COUNT('regrets 6'!$Q7:$U7))</f>
        <v>0.5</v>
      </c>
      <c r="R7" s="60">
        <f>IF(SUMIF('regrets 6'!$Q7:$U7, "&gt;0") &gt; 0, MAX('regrets 6'!R7, 0) / SUMIF('regrets 6'!$Q7:$U7, "&gt;0"), 1 / COUNT('regrets 6'!$Q7:$U7))</f>
        <v>0.5</v>
      </c>
      <c r="S7" s="61"/>
      <c r="T7" s="62"/>
      <c r="U7" s="81"/>
    </row>
    <row r="8" spans="1:21" ht="20" customHeight="1" x14ac:dyDescent="0.15">
      <c r="A8" s="12">
        <v>5</v>
      </c>
      <c r="B8" s="61">
        <f>IF(SUMIF('regrets 6'!$B8:$F8, "&gt;0") &gt; 0, MAX('regrets 6'!B8, 0) / SUMIF('regrets 6'!$B8:$F8, "&gt;0"), 1 / COUNT('regrets 6'!$B8:$F8))</f>
        <v>0.5</v>
      </c>
      <c r="C8" s="61">
        <f>IF(SUMIF('regrets 6'!$B8:$F8, "&gt;0") &gt; 0, MAX('regrets 6'!C8, 0) / SUMIF('regrets 6'!$B8:$F8, "&gt;0"), 1 / COUNT('regrets 6'!$B8:$F8))</f>
        <v>0.5</v>
      </c>
      <c r="D8" s="61"/>
      <c r="E8" s="62"/>
      <c r="F8" s="81"/>
      <c r="G8" s="60">
        <f>IF(SUMIF('regrets 6'!$G8:$K8, "&gt;0") &gt; 0, MAX('regrets 6'!G8, 0) / SUMIF('regrets 6'!$G8:$K8, "&gt;0"), 1 / COUNT('regrets 6'!$G8:$K8))</f>
        <v>0.5</v>
      </c>
      <c r="H8" s="60">
        <f>IF(SUMIF('regrets 6'!$G8:$K8, "&gt;0") &gt; 0, MAX('regrets 6'!H8, 0) / SUMIF('regrets 6'!$G8:$K8, "&gt;0"), 1 / COUNT('regrets 6'!$G8:$K8))</f>
        <v>0.5</v>
      </c>
      <c r="I8" s="61"/>
      <c r="J8" s="62"/>
      <c r="K8" s="81"/>
      <c r="L8" s="60">
        <f>IF(SUMIF('regrets 6'!$L8:$P8, "&gt;0") &gt; 0, MAX('regrets 6'!L8, 0) / SUMIF('regrets 6'!$L8:$P8, "&gt;0"), 1 / COUNT('regrets 6'!$L8:$P8))</f>
        <v>0.5</v>
      </c>
      <c r="M8" s="60">
        <f>IF(SUMIF('regrets 6'!$L8:$P8, "&gt;0") &gt; 0, MAX('regrets 6'!M8, 0) / SUMIF('regrets 6'!$L8:$P8, "&gt;0"), 1 / COUNT('regrets 6'!$L8:$P8))</f>
        <v>0.5</v>
      </c>
      <c r="N8" s="61"/>
      <c r="O8" s="62"/>
      <c r="P8" s="81"/>
      <c r="Q8" s="60">
        <f>IF(SUMIF('regrets 6'!$Q8:$U8, "&gt;0") &gt; 0, MAX('regrets 6'!Q8, 0) / SUMIF('regrets 6'!$Q8:$U8, "&gt;0"), 1 / COUNT('regrets 6'!$Q8:$U8))</f>
        <v>0</v>
      </c>
      <c r="R8" s="60">
        <f>IF(SUMIF('regrets 6'!$Q8:$U8, "&gt;0") &gt; 0, MAX('regrets 6'!R8, 0) / SUMIF('regrets 6'!$Q8:$U8, "&gt;0"), 1 / COUNT('regrets 6'!$Q8:$U8))</f>
        <v>1</v>
      </c>
      <c r="S8" s="61"/>
      <c r="T8" s="62"/>
      <c r="U8" s="81"/>
    </row>
    <row r="9" spans="1:21" ht="20" customHeight="1" x14ac:dyDescent="0.15">
      <c r="A9" s="12">
        <v>6</v>
      </c>
      <c r="B9" s="61">
        <f>IF(SUMIF('regrets 6'!$B9:$F9, "&gt;0") &gt; 0, MAX('regrets 6'!B9, 0) / SUMIF('regrets 6'!$B9:$F9, "&gt;0"), 1 / COUNT('regrets 6'!$B9:$F9))</f>
        <v>0.5</v>
      </c>
      <c r="C9" s="61">
        <f>IF(SUMIF('regrets 6'!$B9:$F9, "&gt;0") &gt; 0, MAX('regrets 6'!C9, 0) / SUMIF('regrets 6'!$B9:$F9, "&gt;0"), 1 / COUNT('regrets 6'!$B9:$F9))</f>
        <v>0.5</v>
      </c>
      <c r="D9" s="61"/>
      <c r="E9" s="62"/>
      <c r="F9" s="81"/>
      <c r="G9" s="60">
        <f>IF(SUMIF('regrets 6'!$G9:$K9, "&gt;0") &gt; 0, MAX('regrets 6'!G9, 0) / SUMIF('regrets 6'!$G9:$K9, "&gt;0"), 1 / COUNT('regrets 6'!$G9:$K9))</f>
        <v>0.5</v>
      </c>
      <c r="H9" s="60">
        <f>IF(SUMIF('regrets 6'!$G9:$K9, "&gt;0") &gt; 0, MAX('regrets 6'!H9, 0) / SUMIF('regrets 6'!$G9:$K9, "&gt;0"), 1 / COUNT('regrets 6'!$G9:$K9))</f>
        <v>0.5</v>
      </c>
      <c r="I9" s="61"/>
      <c r="J9" s="62"/>
      <c r="K9" s="81"/>
      <c r="L9" s="60">
        <f>IF(SUMIF('regrets 6'!$L9:$P9, "&gt;0") &gt; 0, MAX('regrets 6'!L9, 0) / SUMIF('regrets 6'!$L9:$P9, "&gt;0"), 1 / COUNT('regrets 6'!$L9:$P9))</f>
        <v>0.5</v>
      </c>
      <c r="M9" s="60">
        <f>IF(SUMIF('regrets 6'!$L9:$P9, "&gt;0") &gt; 0, MAX('regrets 6'!M9, 0) / SUMIF('regrets 6'!$L9:$P9, "&gt;0"), 1 / COUNT('regrets 6'!$L9:$P9))</f>
        <v>0.5</v>
      </c>
      <c r="N9" s="61"/>
      <c r="O9" s="62"/>
      <c r="P9" s="81"/>
      <c r="Q9" s="60">
        <f>IF(SUMIF('regrets 6'!$Q9:$U9, "&gt;0") &gt; 0, MAX('regrets 6'!Q9, 0) / SUMIF('regrets 6'!$Q9:$U9, "&gt;0"), 1 / COUNT('regrets 6'!$Q9:$U9))</f>
        <v>0.5</v>
      </c>
      <c r="R9" s="60">
        <f>IF(SUMIF('regrets 6'!$Q9:$U9, "&gt;0") &gt; 0, MAX('regrets 6'!R9, 0) / SUMIF('regrets 6'!$Q9:$U9, "&gt;0"), 1 / COUNT('regrets 6'!$Q9:$U9))</f>
        <v>0.5</v>
      </c>
      <c r="S9" s="61"/>
      <c r="T9" s="62"/>
      <c r="U9" s="81"/>
    </row>
    <row r="10" spans="1:21" ht="20" customHeight="1" x14ac:dyDescent="0.15">
      <c r="A10" s="12">
        <v>7</v>
      </c>
      <c r="B10" s="61">
        <f>IF(SUMIF('regrets 6'!$B10:$F10, "&gt;0") &gt; 0, MAX('regrets 6'!B10, 0) / SUMIF('regrets 6'!$B10:$F10, "&gt;0"), 1 / COUNT('regrets 6'!$B10:$F10))</f>
        <v>0.5</v>
      </c>
      <c r="C10" s="61">
        <f>IF(SUMIF('regrets 6'!$B10:$F10, "&gt;0") &gt; 0, MAX('regrets 6'!C10, 0) / SUMIF('regrets 6'!$B10:$F10, "&gt;0"), 1 / COUNT('regrets 6'!$B10:$F10))</f>
        <v>0.5</v>
      </c>
      <c r="D10" s="61"/>
      <c r="E10" s="62"/>
      <c r="F10" s="81"/>
      <c r="G10" s="60">
        <f>IF(SUMIF('regrets 6'!$G10:$K10, "&gt;0") &gt; 0, MAX('regrets 6'!G10, 0) / SUMIF('regrets 6'!$G10:$K10, "&gt;0"), 1 / COUNT('regrets 6'!$G10:$K10))</f>
        <v>0.5</v>
      </c>
      <c r="H10" s="60">
        <f>IF(SUMIF('regrets 6'!$G10:$K10, "&gt;0") &gt; 0, MAX('regrets 6'!H10, 0) / SUMIF('regrets 6'!$G10:$K10, "&gt;0"), 1 / COUNT('regrets 6'!$G10:$K10))</f>
        <v>0.5</v>
      </c>
      <c r="I10" s="61"/>
      <c r="J10" s="62"/>
      <c r="K10" s="81"/>
      <c r="L10" s="60">
        <f>IF(SUMIF('regrets 6'!$L10:$P10, "&gt;0") &gt; 0, MAX('regrets 6'!L10, 0) / SUMIF('regrets 6'!$L10:$P10, "&gt;0"), 1 / COUNT('regrets 6'!$L10:$P10))</f>
        <v>1</v>
      </c>
      <c r="M10" s="60">
        <f>IF(SUMIF('regrets 6'!$L10:$P10, "&gt;0") &gt; 0, MAX('regrets 6'!M10, 0) / SUMIF('regrets 6'!$L10:$P10, "&gt;0"), 1 / COUNT('regrets 6'!$L10:$P10))</f>
        <v>0</v>
      </c>
      <c r="N10" s="61"/>
      <c r="O10" s="62"/>
      <c r="P10" s="81"/>
      <c r="Q10" s="60">
        <f>IF(SUMIF('regrets 6'!$Q10:$U10, "&gt;0") &gt; 0, MAX('regrets 6'!Q10, 0) / SUMIF('regrets 6'!$Q10:$U10, "&gt;0"), 1 / COUNT('regrets 6'!$Q10:$U10))</f>
        <v>0.5</v>
      </c>
      <c r="R10" s="60">
        <f>IF(SUMIF('regrets 6'!$Q10:$U10, "&gt;0") &gt; 0, MAX('regrets 6'!R10, 0) / SUMIF('regrets 6'!$Q10:$U10, "&gt;0"), 1 / COUNT('regrets 6'!$Q10:$U10))</f>
        <v>0.5</v>
      </c>
      <c r="S10" s="61"/>
      <c r="T10" s="62"/>
      <c r="U10" s="81"/>
    </row>
    <row r="11" spans="1:21" ht="20" customHeight="1" x14ac:dyDescent="0.15">
      <c r="A11" s="12">
        <v>8</v>
      </c>
      <c r="B11" s="61">
        <f>IF(SUMIF('regrets 6'!$B11:$F11, "&gt;0") &gt; 0, MAX('regrets 6'!B11, 0) / SUMIF('regrets 6'!$B11:$F11, "&gt;0"), 1 / COUNT('regrets 6'!$B11:$F11))</f>
        <v>0.33333333333333331</v>
      </c>
      <c r="C11" s="61">
        <f>IF(SUMIF('regrets 6'!$B11:$F11, "&gt;0") &gt; 0, MAX('regrets 6'!C11, 0) / SUMIF('regrets 6'!$B11:$F11, "&gt;0"), 1 / COUNT('regrets 6'!$B11:$F11))</f>
        <v>0.33333333333333331</v>
      </c>
      <c r="D11" s="61">
        <f>IF(SUMIF('regrets 6'!$B11:$F11, "&gt;0") &gt; 0, MAX('regrets 6'!D11, 0) / SUMIF('regrets 6'!$B11:$F11, "&gt;0"), 1 / COUNT('regrets 6'!$B11:$F11))</f>
        <v>0.33333333333333331</v>
      </c>
      <c r="E11" s="62"/>
      <c r="F11" s="81"/>
      <c r="G11" s="60">
        <f>IF(SUMIF('regrets 6'!$G11:$K11, "&gt;0") &gt; 0, MAX('regrets 6'!G11, 0) / SUMIF('regrets 6'!$G11:$K11, "&gt;0"), 1 / COUNT('regrets 6'!$G11:$K11))</f>
        <v>0.7033042287279575</v>
      </c>
      <c r="H11" s="60">
        <f>IF(SUMIF('regrets 6'!$G11:$K11, "&gt;0") &gt; 0, MAX('regrets 6'!H11, 0) / SUMIF('regrets 6'!$G11:$K11, "&gt;0"), 1 / COUNT('regrets 6'!$G11:$K11))</f>
        <v>0</v>
      </c>
      <c r="I11" s="60">
        <f>IF(SUMIF('regrets 6'!$G11:$K11, "&gt;0") &gt; 0, MAX('regrets 6'!I11, 0) / SUMIF('regrets 6'!$G11:$K11, "&gt;0"), 1 / COUNT('regrets 6'!$G11:$K11))</f>
        <v>0.29669577127204244</v>
      </c>
      <c r="J11" s="62"/>
      <c r="K11" s="81"/>
      <c r="L11" s="60">
        <f>IF(SUMIF('regrets 6'!$L11:$P11, "&gt;0") &gt; 0, MAX('regrets 6'!L11, 0) / SUMIF('regrets 6'!$L11:$P11, "&gt;0"), 1 / COUNT('regrets 6'!$L11:$P11))</f>
        <v>0.33333333333333331</v>
      </c>
      <c r="M11" s="60">
        <f>IF(SUMIF('regrets 6'!$L11:$P11, "&gt;0") &gt; 0, MAX('regrets 6'!M11, 0) / SUMIF('regrets 6'!$L11:$P11, "&gt;0"), 1 / COUNT('regrets 6'!$L11:$P11))</f>
        <v>0.33333333333333331</v>
      </c>
      <c r="N11" s="60">
        <f>IF(SUMIF('regrets 6'!$L11:$P11, "&gt;0") &gt; 0, MAX('regrets 6'!N11, 0) / SUMIF('regrets 6'!$L11:$P11, "&gt;0"), 1 / COUNT('regrets 6'!$L11:$P11))</f>
        <v>0.33333333333333331</v>
      </c>
      <c r="O11" s="62"/>
      <c r="P11" s="81"/>
      <c r="Q11" s="60">
        <f>IF(SUMIF('regrets 6'!$Q11:$U11, "&gt;0") &gt; 0, MAX('regrets 6'!Q11, 0) / SUMIF('regrets 6'!$Q11:$U11, "&gt;0"), 1 / COUNT('regrets 6'!$Q11:$U11))</f>
        <v>0.33333333333333331</v>
      </c>
      <c r="R11" s="60">
        <f>IF(SUMIF('regrets 6'!$Q11:$U11, "&gt;0") &gt; 0, MAX('regrets 6'!R11, 0) / SUMIF('regrets 6'!$Q11:$U11, "&gt;0"), 1 / COUNT('regrets 6'!$Q11:$U11))</f>
        <v>0.33333333333333331</v>
      </c>
      <c r="S11" s="60">
        <f>IF(SUMIF('regrets 6'!$Q11:$U11, "&gt;0") &gt; 0, MAX('regrets 6'!S11, 0) / SUMIF('regrets 6'!$Q11:$U11, "&gt;0"), 1 / COUNT('regrets 6'!$Q11:$U11))</f>
        <v>0.33333333333333331</v>
      </c>
      <c r="T11" s="62"/>
      <c r="U11" s="81"/>
    </row>
    <row r="12" spans="1:21" ht="20" customHeight="1" x14ac:dyDescent="0.15">
      <c r="A12" s="12">
        <v>9</v>
      </c>
      <c r="B12" s="60"/>
      <c r="C12" s="61">
        <f>IF(SUMIF('regrets 6'!$B12:$F12, "&gt;0") &gt; 0, MAX('regrets 6'!C12, 0) / SUMIF('regrets 6'!$B12:$F12, "&gt;0"), 1 / COUNT('regrets 6'!$B12:$F12))</f>
        <v>0.5</v>
      </c>
      <c r="D12" s="61">
        <f>IF(SUMIF('regrets 6'!$B12:$F12, "&gt;0") &gt; 0, MAX('regrets 6'!D12, 0) / SUMIF('regrets 6'!$B12:$F12, "&gt;0"), 1 / COUNT('regrets 6'!$B12:$F12))</f>
        <v>0.5</v>
      </c>
      <c r="E12" s="62"/>
      <c r="F12" s="81"/>
      <c r="G12" s="60"/>
      <c r="H12" s="60">
        <f>IF(SUMIF('regrets 6'!$G12:$K12, "&gt;0") &gt; 0, MAX('regrets 6'!H12, 0) / SUMIF('regrets 6'!$G12:$K12, "&gt;0"), 1 / COUNT('regrets 6'!$G12:$K12))</f>
        <v>0.5</v>
      </c>
      <c r="I12" s="60">
        <f>IF(SUMIF('regrets 6'!$G12:$K12, "&gt;0") &gt; 0, MAX('regrets 6'!I12, 0) / SUMIF('regrets 6'!$G12:$K12, "&gt;0"), 1 / COUNT('regrets 6'!$G12:$K12))</f>
        <v>0.5</v>
      </c>
      <c r="J12" s="62"/>
      <c r="K12" s="81"/>
      <c r="L12" s="60"/>
      <c r="M12" s="60">
        <f>IF(SUMIF('regrets 6'!$L12:$P12, "&gt;0") &gt; 0, MAX('regrets 6'!M12, 0) / SUMIF('regrets 6'!$L12:$P12, "&gt;0"), 1 / COUNT('regrets 6'!$L12:$P12))</f>
        <v>0.5</v>
      </c>
      <c r="N12" s="60">
        <f>IF(SUMIF('regrets 6'!$L12:$P12, "&gt;0") &gt; 0, MAX('regrets 6'!N12, 0) / SUMIF('regrets 6'!$L12:$P12, "&gt;0"), 1 / COUNT('regrets 6'!$L12:$P12))</f>
        <v>0.5</v>
      </c>
      <c r="O12" s="62"/>
      <c r="P12" s="81"/>
      <c r="Q12" s="60"/>
      <c r="R12" s="60">
        <f>IF(SUMIF('regrets 6'!$Q12:$U12, "&gt;0") &gt; 0, MAX('regrets 6'!R12, 0) / SUMIF('regrets 6'!$Q12:$U12, "&gt;0"), 1 / COUNT('regrets 6'!$Q12:$U12))</f>
        <v>1</v>
      </c>
      <c r="S12" s="60">
        <f>IF(SUMIF('regrets 6'!$Q12:$U12, "&gt;0") &gt; 0, MAX('regrets 6'!S12, 0) / SUMIF('regrets 6'!$Q12:$U12, "&gt;0"), 1 / COUNT('regrets 6'!$Q12:$U12))</f>
        <v>0</v>
      </c>
      <c r="T12" s="62"/>
      <c r="U12" s="81"/>
    </row>
    <row r="13" spans="1:21" ht="20" customHeight="1" x14ac:dyDescent="0.15">
      <c r="A13" s="12">
        <v>10</v>
      </c>
      <c r="B13" s="61">
        <f>IF(SUMIF('regrets 6'!$B13:$F13, "&gt;0") &gt; 0, MAX('regrets 6'!B13, 0) / SUMIF('regrets 6'!$B13:$F13, "&gt;0"), 1 / COUNT('regrets 6'!$B13:$F13))</f>
        <v>0.5</v>
      </c>
      <c r="C13" s="61">
        <f>IF(SUMIF('regrets 6'!$B13:$F13, "&gt;0") &gt; 0, MAX('regrets 6'!C13, 0) / SUMIF('regrets 6'!$B13:$F13, "&gt;0"), 1 / COUNT('regrets 6'!$B13:$F13))</f>
        <v>0.5</v>
      </c>
      <c r="D13" s="61"/>
      <c r="E13" s="62"/>
      <c r="F13" s="81"/>
      <c r="G13" s="60">
        <f>IF(SUMIF('regrets 6'!$G13:$K13, "&gt;0") &gt; 0, MAX('regrets 6'!G13, 0) / SUMIF('regrets 6'!$G13:$K13, "&gt;0"), 1 / COUNT('regrets 6'!$G13:$K13))</f>
        <v>0.5</v>
      </c>
      <c r="H13" s="60">
        <f>IF(SUMIF('regrets 6'!$G13:$K13, "&gt;0") &gt; 0, MAX('regrets 6'!H13, 0) / SUMIF('regrets 6'!$G13:$K13, "&gt;0"), 1 / COUNT('regrets 6'!$G13:$K13))</f>
        <v>0.5</v>
      </c>
      <c r="I13" s="61"/>
      <c r="J13" s="62"/>
      <c r="K13" s="81"/>
      <c r="L13" s="60">
        <f>IF(SUMIF('regrets 6'!$L13:$P13, "&gt;0") &gt; 0, MAX('regrets 6'!L13, 0) / SUMIF('regrets 6'!$L13:$P13, "&gt;0"), 1 / COUNT('regrets 6'!$L13:$P13))</f>
        <v>0.5</v>
      </c>
      <c r="M13" s="60">
        <f>IF(SUMIF('regrets 6'!$L13:$P13, "&gt;0") &gt; 0, MAX('regrets 6'!M13, 0) / SUMIF('regrets 6'!$L13:$P13, "&gt;0"), 1 / COUNT('regrets 6'!$L13:$P13))</f>
        <v>0.5</v>
      </c>
      <c r="N13" s="61"/>
      <c r="O13" s="62"/>
      <c r="P13" s="81"/>
      <c r="Q13" s="60">
        <f>IF(SUMIF('regrets 6'!$Q13:$U13, "&gt;0") &gt; 0, MAX('regrets 6'!Q13, 0) / SUMIF('regrets 6'!$Q13:$U13, "&gt;0"), 1 / COUNT('regrets 6'!$Q13:$U13))</f>
        <v>0.5</v>
      </c>
      <c r="R13" s="60">
        <f>IF(SUMIF('regrets 6'!$Q13:$U13, "&gt;0") &gt; 0, MAX('regrets 6'!R13, 0) / SUMIF('regrets 6'!$Q13:$U13, "&gt;0"), 1 / COUNT('regrets 6'!$Q13:$U13))</f>
        <v>0.5</v>
      </c>
      <c r="S13" s="61"/>
      <c r="T13" s="62"/>
      <c r="U13" s="81"/>
    </row>
    <row r="14" spans="1:21" ht="20" customHeight="1" x14ac:dyDescent="0.15">
      <c r="A14" s="12">
        <v>11</v>
      </c>
      <c r="B14" s="61">
        <f>IF(SUMIF('regrets 6'!$B14:$F14, "&gt;0") &gt; 0, MAX('regrets 6'!B14, 0) / SUMIF('regrets 6'!$B14:$F14, "&gt;0"), 1 / COUNT('regrets 6'!$B14:$F14))</f>
        <v>0.5</v>
      </c>
      <c r="C14" s="61">
        <f>IF(SUMIF('regrets 6'!$B14:$F14, "&gt;0") &gt; 0, MAX('regrets 6'!C14, 0) / SUMIF('regrets 6'!$B14:$F14, "&gt;0"), 1 / COUNT('regrets 6'!$B14:$F14))</f>
        <v>0.5</v>
      </c>
      <c r="D14" s="61"/>
      <c r="E14" s="62"/>
      <c r="F14" s="81"/>
      <c r="G14" s="60">
        <f>IF(SUMIF('regrets 6'!$G14:$K14, "&gt;0") &gt; 0, MAX('regrets 6'!G14, 0) / SUMIF('regrets 6'!$G14:$K14, "&gt;0"), 1 / COUNT('regrets 6'!$G14:$K14))</f>
        <v>0.5</v>
      </c>
      <c r="H14" s="60">
        <f>IF(SUMIF('regrets 6'!$G14:$K14, "&gt;0") &gt; 0, MAX('regrets 6'!H14, 0) / SUMIF('regrets 6'!$G14:$K14, "&gt;0"), 1 / COUNT('regrets 6'!$G14:$K14))</f>
        <v>0.5</v>
      </c>
      <c r="I14" s="61"/>
      <c r="J14" s="62"/>
      <c r="K14" s="81"/>
      <c r="L14" s="60">
        <f>IF(SUMIF('regrets 6'!$L14:$P14, "&gt;0") &gt; 0, MAX('regrets 6'!L14, 0) / SUMIF('regrets 6'!$L14:$P14, "&gt;0"), 1 / COUNT('regrets 6'!$L14:$P14))</f>
        <v>0.5</v>
      </c>
      <c r="M14" s="60">
        <f>IF(SUMIF('regrets 6'!$L14:$P14, "&gt;0") &gt; 0, MAX('regrets 6'!M14, 0) / SUMIF('regrets 6'!$L14:$P14, "&gt;0"), 1 / COUNT('regrets 6'!$L14:$P14))</f>
        <v>0.5</v>
      </c>
      <c r="N14" s="61"/>
      <c r="O14" s="62"/>
      <c r="P14" s="81"/>
      <c r="Q14" s="60">
        <f>IF(SUMIF('regrets 6'!$Q14:$U14, "&gt;0") &gt; 0, MAX('regrets 6'!Q14, 0) / SUMIF('regrets 6'!$Q14:$U14, "&gt;0"), 1 / COUNT('regrets 6'!$Q14:$U14))</f>
        <v>0.5</v>
      </c>
      <c r="R14" s="60">
        <f>IF(SUMIF('regrets 6'!$Q14:$U14, "&gt;0") &gt; 0, MAX('regrets 6'!R14, 0) / SUMIF('regrets 6'!$Q14:$U14, "&gt;0"), 1 / COUNT('regrets 6'!$Q14:$U14))</f>
        <v>0.5</v>
      </c>
      <c r="S14" s="61"/>
      <c r="T14" s="62"/>
      <c r="U14" s="81"/>
    </row>
    <row r="15" spans="1:21" ht="20" customHeight="1" x14ac:dyDescent="0.15">
      <c r="A15" s="12">
        <v>12</v>
      </c>
      <c r="B15" s="61">
        <f>IF(SUMIF('regrets 6'!$B15:$F15, "&gt;0") &gt; 0, MAX('regrets 6'!B15, 0) / SUMIF('regrets 6'!$B15:$F15, "&gt;0"), 1 / COUNT('regrets 6'!$B15:$F15))</f>
        <v>0.5</v>
      </c>
      <c r="C15" s="61">
        <f>IF(SUMIF('regrets 6'!$B15:$F15, "&gt;0") &gt; 0, MAX('regrets 6'!C15, 0) / SUMIF('regrets 6'!$B15:$F15, "&gt;0"), 1 / COUNT('regrets 6'!$B15:$F15))</f>
        <v>0.5</v>
      </c>
      <c r="D15" s="61"/>
      <c r="E15" s="62"/>
      <c r="F15" s="81"/>
      <c r="G15" s="60">
        <f>IF(SUMIF('regrets 6'!$G15:$K15, "&gt;0") &gt; 0, MAX('regrets 6'!G15, 0) / SUMIF('regrets 6'!$G15:$K15, "&gt;0"), 1 / COUNT('regrets 6'!$G15:$K15))</f>
        <v>0.5</v>
      </c>
      <c r="H15" s="60">
        <f>IF(SUMIF('regrets 6'!$G15:$K15, "&gt;0") &gt; 0, MAX('regrets 6'!H15, 0) / SUMIF('regrets 6'!$G15:$K15, "&gt;0"), 1 / COUNT('regrets 6'!$G15:$K15))</f>
        <v>0.5</v>
      </c>
      <c r="I15" s="61"/>
      <c r="J15" s="62"/>
      <c r="K15" s="81"/>
      <c r="L15" s="60">
        <f>IF(SUMIF('regrets 6'!$L15:$P15, "&gt;0") &gt; 0, MAX('regrets 6'!L15, 0) / SUMIF('regrets 6'!$L15:$P15, "&gt;0"), 1 / COUNT('regrets 6'!$L15:$P15))</f>
        <v>0.5</v>
      </c>
      <c r="M15" s="60">
        <f>IF(SUMIF('regrets 6'!$L15:$P15, "&gt;0") &gt; 0, MAX('regrets 6'!M15, 0) / SUMIF('regrets 6'!$L15:$P15, "&gt;0"), 1 / COUNT('regrets 6'!$L15:$P15))</f>
        <v>0.5</v>
      </c>
      <c r="N15" s="61"/>
      <c r="O15" s="62"/>
      <c r="P15" s="81"/>
      <c r="Q15" s="60">
        <f>IF(SUMIF('regrets 6'!$Q15:$U15, "&gt;0") &gt; 0, MAX('regrets 6'!Q15, 0) / SUMIF('regrets 6'!$Q15:$U15, "&gt;0"), 1 / COUNT('regrets 6'!$Q15:$U15))</f>
        <v>0.5</v>
      </c>
      <c r="R15" s="60">
        <f>IF(SUMIF('regrets 6'!$Q15:$U15, "&gt;0") &gt; 0, MAX('regrets 6'!R15, 0) / SUMIF('regrets 6'!$Q15:$U15, "&gt;0"), 1 / COUNT('regrets 6'!$Q15:$U15))</f>
        <v>0.5</v>
      </c>
      <c r="S15" s="61"/>
      <c r="T15" s="62"/>
      <c r="U15" s="81"/>
    </row>
    <row r="16" spans="1:21" ht="20" customHeight="1" x14ac:dyDescent="0.15">
      <c r="A16" s="12">
        <v>13</v>
      </c>
      <c r="B16" s="61">
        <f>IF(SUMIF('regrets 6'!$B16:$F16, "&gt;0") &gt; 0, MAX('regrets 6'!B16, 0) / SUMIF('regrets 6'!$B16:$F16, "&gt;0"), 1 / COUNT('regrets 6'!$B16:$F16))</f>
        <v>0.5</v>
      </c>
      <c r="C16" s="61">
        <f>IF(SUMIF('regrets 6'!$B16:$F16, "&gt;0") &gt; 0, MAX('regrets 6'!C16, 0) / SUMIF('regrets 6'!$B16:$F16, "&gt;0"), 1 / COUNT('regrets 6'!$B16:$F16))</f>
        <v>0.5</v>
      </c>
      <c r="D16" s="61"/>
      <c r="E16" s="62"/>
      <c r="F16" s="81"/>
      <c r="G16" s="60">
        <f>IF(SUMIF('regrets 6'!$G16:$K16, "&gt;0") &gt; 0, MAX('regrets 6'!G16, 0) / SUMIF('regrets 6'!$G16:$K16, "&gt;0"), 1 / COUNT('regrets 6'!$G16:$K16))</f>
        <v>0</v>
      </c>
      <c r="H16" s="60">
        <f>IF(SUMIF('regrets 6'!$G16:$K16, "&gt;0") &gt; 0, MAX('regrets 6'!H16, 0) / SUMIF('regrets 6'!$G16:$K16, "&gt;0"), 1 / COUNT('regrets 6'!$G16:$K16))</f>
        <v>1</v>
      </c>
      <c r="I16" s="61"/>
      <c r="J16" s="62"/>
      <c r="K16" s="81"/>
      <c r="L16" s="60">
        <f>IF(SUMIF('regrets 6'!$L16:$P16, "&gt;0") &gt; 0, MAX('regrets 6'!L16, 0) / SUMIF('regrets 6'!$L16:$P16, "&gt;0"), 1 / COUNT('regrets 6'!$L16:$P16))</f>
        <v>0.5</v>
      </c>
      <c r="M16" s="60">
        <f>IF(SUMIF('regrets 6'!$L16:$P16, "&gt;0") &gt; 0, MAX('regrets 6'!M16, 0) / SUMIF('regrets 6'!$L16:$P16, "&gt;0"), 1 / COUNT('regrets 6'!$L16:$P16))</f>
        <v>0.5</v>
      </c>
      <c r="N16" s="61"/>
      <c r="O16" s="62"/>
      <c r="P16" s="81"/>
      <c r="Q16" s="60">
        <f>IF(SUMIF('regrets 6'!$Q16:$U16, "&gt;0") &gt; 0, MAX('regrets 6'!Q16, 0) / SUMIF('regrets 6'!$Q16:$U16, "&gt;0"), 1 / COUNT('regrets 6'!$Q16:$U16))</f>
        <v>0.5</v>
      </c>
      <c r="R16" s="60">
        <f>IF(SUMIF('regrets 6'!$Q16:$U16, "&gt;0") &gt; 0, MAX('regrets 6'!R16, 0) / SUMIF('regrets 6'!$Q16:$U16, "&gt;0"), 1 / COUNT('regrets 6'!$Q16:$U16))</f>
        <v>0.5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f>IF(SUMIF('regrets 6'!$B17:$F17, "&gt;0") &gt; 0, MAX('regrets 6'!C17, 0) / SUMIF('regrets 6'!$B17:$F17, "&gt;0"), 1 / COUNT('regrets 6'!$B17:$F17))</f>
        <v>0.5</v>
      </c>
      <c r="D17" s="61">
        <f>IF(SUMIF('regrets 6'!$B17:$F17, "&gt;0") &gt; 0, MAX('regrets 6'!D17, 0) / SUMIF('regrets 6'!$B17:$F17, "&gt;0"), 1 / COUNT('regrets 6'!$B17:$F17))</f>
        <v>0.5</v>
      </c>
      <c r="E17" s="62"/>
      <c r="F17" s="81"/>
      <c r="G17" s="60"/>
      <c r="H17" s="60">
        <f>IF(SUMIF('regrets 6'!$G17:$K17, "&gt;0") &gt; 0, MAX('regrets 6'!H17, 0) / SUMIF('regrets 6'!$G17:$K17, "&gt;0"), 1 / COUNT('regrets 6'!$G17:$K17))</f>
        <v>0.5</v>
      </c>
      <c r="I17" s="60">
        <f>IF(SUMIF('regrets 6'!$G17:$K17, "&gt;0") &gt; 0, MAX('regrets 6'!I17, 0) / SUMIF('regrets 6'!$G17:$K17, "&gt;0"), 1 / COUNT('regrets 6'!$G17:$K17))</f>
        <v>0.5</v>
      </c>
      <c r="J17" s="62"/>
      <c r="K17" s="81"/>
      <c r="L17" s="60"/>
      <c r="M17" s="60">
        <f>IF(SUMIF('regrets 6'!$L17:$P17, "&gt;0") &gt; 0, MAX('regrets 6'!M17, 0) / SUMIF('regrets 6'!$L17:$P17, "&gt;0"), 1 / COUNT('regrets 6'!$L17:$P17))</f>
        <v>0.5</v>
      </c>
      <c r="N17" s="60">
        <f>IF(SUMIF('regrets 6'!$L17:$P17, "&gt;0") &gt; 0, MAX('regrets 6'!N17, 0) / SUMIF('regrets 6'!$L17:$P17, "&gt;0"), 1 / COUNT('regrets 6'!$L17:$P17))</f>
        <v>0.5</v>
      </c>
      <c r="O17" s="62"/>
      <c r="P17" s="81"/>
      <c r="Q17" s="60"/>
      <c r="R17" s="60">
        <f>IF(SUMIF('regrets 6'!$Q17:$U17, "&gt;0") &gt; 0, MAX('regrets 6'!R17, 0) / SUMIF('regrets 6'!$Q17:$U17, "&gt;0"), 1 / COUNT('regrets 6'!$Q17:$U17))</f>
        <v>0.5</v>
      </c>
      <c r="S17" s="60">
        <f>IF(SUMIF('regrets 6'!$Q17:$U17, "&gt;0") &gt; 0, MAX('regrets 6'!S17, 0) / SUMIF('regrets 6'!$Q17:$U17, "&gt;0"), 1 / COUNT('regrets 6'!$Q17:$U17))</f>
        <v>0.5</v>
      </c>
      <c r="T17" s="62"/>
      <c r="U17" s="81"/>
    </row>
    <row r="18" spans="1:21" ht="20" customHeight="1" x14ac:dyDescent="0.15">
      <c r="A18" s="12">
        <v>15</v>
      </c>
      <c r="B18" s="61">
        <f>IF(SUMIF('regrets 6'!$B18:$F18, "&gt;0") &gt; 0, MAX('regrets 6'!B18, 0) / SUMIF('regrets 6'!$B18:$F18, "&gt;0"), 1 / COUNT('regrets 6'!$B18:$F18))</f>
        <v>0.5</v>
      </c>
      <c r="C18" s="61">
        <f>IF(SUMIF('regrets 6'!$B18:$F18, "&gt;0") &gt; 0, MAX('regrets 6'!C18, 0) / SUMIF('regrets 6'!$B18:$F18, "&gt;0"), 1 / COUNT('regrets 6'!$B18:$F18))</f>
        <v>0.5</v>
      </c>
      <c r="D18" s="61"/>
      <c r="E18" s="62"/>
      <c r="F18" s="81"/>
      <c r="G18" s="60">
        <f>IF(SUMIF('regrets 6'!$G18:$K18, "&gt;0") &gt; 0, MAX('regrets 6'!G18, 0) / SUMIF('regrets 6'!$G18:$K18, "&gt;0"), 1 / COUNT('regrets 6'!$G18:$K18))</f>
        <v>0.5</v>
      </c>
      <c r="H18" s="60">
        <f>IF(SUMIF('regrets 6'!$G18:$K18, "&gt;0") &gt; 0, MAX('regrets 6'!H18, 0) / SUMIF('regrets 6'!$G18:$K18, "&gt;0"), 1 / COUNT('regrets 6'!$G18:$K18))</f>
        <v>0.5</v>
      </c>
      <c r="I18" s="61"/>
      <c r="J18" s="62"/>
      <c r="K18" s="81"/>
      <c r="L18" s="60">
        <f>IF(SUMIF('regrets 6'!$L18:$P18, "&gt;0") &gt; 0, MAX('regrets 6'!L18, 0) / SUMIF('regrets 6'!$L18:$P18, "&gt;0"), 1 / COUNT('regrets 6'!$L18:$P18))</f>
        <v>0.5</v>
      </c>
      <c r="M18" s="60">
        <f>IF(SUMIF('regrets 6'!$L18:$P18, "&gt;0") &gt; 0, MAX('regrets 6'!M18, 0) / SUMIF('regrets 6'!$L18:$P18, "&gt;0"), 1 / COUNT('regrets 6'!$L18:$P18))</f>
        <v>0.5</v>
      </c>
      <c r="N18" s="61"/>
      <c r="O18" s="62"/>
      <c r="P18" s="81"/>
      <c r="Q18" s="60">
        <f>IF(SUMIF('regrets 6'!$Q18:$U18, "&gt;0") &gt; 0, MAX('regrets 6'!Q18, 0) / SUMIF('regrets 6'!$Q18:$U18, "&gt;0"), 1 / COUNT('regrets 6'!$Q18:$U18))</f>
        <v>0.5</v>
      </c>
      <c r="R18" s="60">
        <f>IF(SUMIF('regrets 6'!$Q18:$U18, "&gt;0") &gt; 0, MAX('regrets 6'!R18, 0) / SUMIF('regrets 6'!$Q18:$U18, "&gt;0"), 1 / COUNT('regrets 6'!$Q18:$U18))</f>
        <v>0.5</v>
      </c>
      <c r="S18" s="61"/>
      <c r="T18" s="62"/>
      <c r="U18" s="81"/>
    </row>
    <row r="19" spans="1:21" ht="20" customHeight="1" x14ac:dyDescent="0.15">
      <c r="A19" s="12">
        <v>16</v>
      </c>
      <c r="B19" s="61">
        <f>IF(SUMIF('regrets 6'!$B19:$F19, "&gt;0") &gt; 0, MAX('regrets 6'!B19, 0) / SUMIF('regrets 6'!$B19:$F19, "&gt;0"), 1 / COUNT('regrets 6'!$B19:$F19))</f>
        <v>0.5</v>
      </c>
      <c r="C19" s="61">
        <f>IF(SUMIF('regrets 6'!$B19:$F19, "&gt;0") &gt; 0, MAX('regrets 6'!C19, 0) / SUMIF('regrets 6'!$B19:$F19, "&gt;0"), 1 / COUNT('regrets 6'!$B19:$F19))</f>
        <v>0.5</v>
      </c>
      <c r="D19" s="61"/>
      <c r="E19" s="62"/>
      <c r="F19" s="81"/>
      <c r="G19" s="60">
        <f>IF(SUMIF('regrets 6'!$G19:$K19, "&gt;0") &gt; 0, MAX('regrets 6'!G19, 0) / SUMIF('regrets 6'!$G19:$K19, "&gt;0"), 1 / COUNT('regrets 6'!$G19:$K19))</f>
        <v>0.5</v>
      </c>
      <c r="H19" s="60">
        <f>IF(SUMIF('regrets 6'!$G19:$K19, "&gt;0") &gt; 0, MAX('regrets 6'!H19, 0) / SUMIF('regrets 6'!$G19:$K19, "&gt;0"), 1 / COUNT('regrets 6'!$G19:$K19))</f>
        <v>0.5</v>
      </c>
      <c r="I19" s="61"/>
      <c r="J19" s="62"/>
      <c r="K19" s="81"/>
      <c r="L19" s="60">
        <f>IF(SUMIF('regrets 6'!$L19:$P19, "&gt;0") &gt; 0, MAX('regrets 6'!L19, 0) / SUMIF('regrets 6'!$L19:$P19, "&gt;0"), 1 / COUNT('regrets 6'!$L19:$P19))</f>
        <v>0.5</v>
      </c>
      <c r="M19" s="60">
        <f>IF(SUMIF('regrets 6'!$L19:$P19, "&gt;0") &gt; 0, MAX('regrets 6'!M19, 0) / SUMIF('regrets 6'!$L19:$P19, "&gt;0"), 1 / COUNT('regrets 6'!$L19:$P19))</f>
        <v>0.5</v>
      </c>
      <c r="N19" s="61"/>
      <c r="O19" s="62"/>
      <c r="P19" s="81"/>
      <c r="Q19" s="60">
        <f>IF(SUMIF('regrets 6'!$Q19:$U19, "&gt;0") &gt; 0, MAX('regrets 6'!Q19, 0) / SUMIF('regrets 6'!$Q19:$U19, "&gt;0"), 1 / COUNT('regrets 6'!$Q19:$U19))</f>
        <v>0.5</v>
      </c>
      <c r="R19" s="60">
        <f>IF(SUMIF('regrets 6'!$Q19:$U19, "&gt;0") &gt; 0, MAX('regrets 6'!R19, 0) / SUMIF('regrets 6'!$Q19:$U19, "&gt;0"), 1 / COUNT('regrets 6'!$Q19:$U19))</f>
        <v>0.5</v>
      </c>
      <c r="S19" s="61"/>
      <c r="T19" s="62"/>
      <c r="U19" s="81"/>
    </row>
    <row r="20" spans="1:21" ht="20.75" customHeight="1" thickBot="1" x14ac:dyDescent="0.2">
      <c r="A20" s="17">
        <v>17</v>
      </c>
      <c r="B20" s="61">
        <f>IF(SUMIF('regrets 6'!$B20:$F20, "&gt;0") &gt; 0, MAX('regrets 6'!B20, 0) / SUMIF('regrets 6'!$B20:$F20, "&gt;0"), 1 / COUNT('regrets 6'!$B20:$F20))</f>
        <v>0.5</v>
      </c>
      <c r="C20" s="61">
        <f>IF(SUMIF('regrets 6'!$B20:$F20, "&gt;0") &gt; 0, MAX('regrets 6'!C20, 0) / SUMIF('regrets 6'!$B20:$F20, "&gt;0"), 1 / COUNT('regrets 6'!$B20:$F20))</f>
        <v>0.5</v>
      </c>
      <c r="D20" s="83"/>
      <c r="E20" s="75"/>
      <c r="F20" s="84"/>
      <c r="G20" s="60">
        <f>IF(SUMIF('regrets 6'!$G20:$K20, "&gt;0") &gt; 0, MAX('regrets 6'!G20, 0) / SUMIF('regrets 6'!$G20:$K20, "&gt;0"), 1 / COUNT('regrets 6'!$G20:$K20))</f>
        <v>0.5</v>
      </c>
      <c r="H20" s="60">
        <f>IF(SUMIF('regrets 6'!$G20:$K20, "&gt;0") &gt; 0, MAX('regrets 6'!H20, 0) / SUMIF('regrets 6'!$G20:$K20, "&gt;0"), 1 / COUNT('regrets 6'!$G20:$K20))</f>
        <v>0.5</v>
      </c>
      <c r="I20" s="83"/>
      <c r="J20" s="75"/>
      <c r="K20" s="84"/>
      <c r="L20" s="60">
        <f>IF(SUMIF('regrets 6'!$L20:$P20, "&gt;0") &gt; 0, MAX('regrets 6'!L20, 0) / SUMIF('regrets 6'!$L20:$P20, "&gt;0"), 1 / COUNT('regrets 6'!$L20:$P20))</f>
        <v>0.5</v>
      </c>
      <c r="M20" s="60">
        <f>IF(SUMIF('regrets 6'!$L20:$P20, "&gt;0") &gt; 0, MAX('regrets 6'!M20, 0) / SUMIF('regrets 6'!$L20:$P20, "&gt;0"), 1 / COUNT('regrets 6'!$L20:$P20))</f>
        <v>0.5</v>
      </c>
      <c r="N20" s="83"/>
      <c r="O20" s="75"/>
      <c r="P20" s="84"/>
      <c r="Q20" s="60">
        <f>IF(SUMIF('regrets 6'!$Q20:$U20, "&gt;0") &gt; 0, MAX('regrets 6'!Q20, 0) / SUMIF('regrets 6'!$Q20:$U20, "&gt;0"), 1 / COUNT('regrets 6'!$Q20:$U20))</f>
        <v>0.5</v>
      </c>
      <c r="R20" s="60">
        <f>IF(SUMIF('regrets 6'!$Q20:$U20, "&gt;0") &gt; 0, MAX('regrets 6'!R20, 0) / SUMIF('regrets 6'!$Q20:$U20, "&gt;0"), 1 / COUNT('regrets 6'!$Q20:$U20))</f>
        <v>0.5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IF(SUMIF('regrets 6'!$B21:$F21, "&gt;0") &gt; 0, MAX('regrets 6'!C21, 0) / SUMIF('regrets 6'!$B21:$F21, "&gt;0"), 1 / COUNT('regrets 6'!$B21:$F21))</f>
        <v>0.5</v>
      </c>
      <c r="D21" s="68">
        <f>IF(SUMIF('regrets 6'!$B21:$F21, "&gt;0") &gt; 0, MAX('regrets 6'!D21, 0) / SUMIF('regrets 6'!$B21:$F21, "&gt;0"), 1 / COUNT('regrets 6'!$B21:$F21))</f>
        <v>0.5</v>
      </c>
      <c r="E21" s="67"/>
      <c r="F21" s="86"/>
      <c r="G21" s="87"/>
      <c r="H21" s="68">
        <f>IF(SUMIF('regrets 6'!$G21:$K21, "&gt;0") &gt; 0, MAX('regrets 6'!H21, 0) / SUMIF('regrets 6'!$G21:$K21, "&gt;0"), 1 / COUNT('regrets 6'!$G21:$K21))</f>
        <v>0</v>
      </c>
      <c r="I21" s="68">
        <f>IF(SUMIF('regrets 6'!$G21:$K21, "&gt;0") &gt; 0, MAX('regrets 6'!I21, 0) / SUMIF('regrets 6'!$G21:$K21, "&gt;0"), 1 / COUNT('regrets 6'!$G21:$K21))</f>
        <v>1</v>
      </c>
      <c r="J21" s="67"/>
      <c r="K21" s="86"/>
      <c r="L21" s="88"/>
      <c r="M21" s="67">
        <f>IF(SUMIF('regrets 6'!$L21:$P21, "&gt;0") &gt; 0, MAX('regrets 6'!M21, 0) / SUMIF('regrets 6'!$L21:$P21, "&gt;0"), 1 / COUNT('regrets 6'!$L21:$P21))</f>
        <v>0.5</v>
      </c>
      <c r="N21" s="67">
        <f>IF(SUMIF('regrets 6'!$L21:$P21, "&gt;0") &gt; 0, MAX('regrets 6'!N21, 0) / SUMIF('regrets 6'!$L21:$P21, "&gt;0"), 1 / COUNT('regrets 6'!$L21:$P21))</f>
        <v>0.5</v>
      </c>
      <c r="O21" s="67"/>
      <c r="P21" s="89"/>
      <c r="Q21" s="87"/>
      <c r="R21" s="68">
        <f>IF(SUMIF('regrets 6'!$Q21:$U21, "&gt;0") &gt; 0, MAX('regrets 6'!R21, 0) / SUMIF('regrets 6'!$Q21:$U21, "&gt;0"), 1 / COUNT('regrets 6'!$Q21:$U21))</f>
        <v>0.5</v>
      </c>
      <c r="S21" s="68">
        <f>IF(SUMIF('regrets 6'!$Q21:$U21, "&gt;0") &gt; 0, MAX('regrets 6'!S21, 0) / SUMIF('regrets 6'!$Q21:$U21, "&gt;0"), 1 / COUNT('regrets 6'!$Q21:$U21))</f>
        <v>0.5</v>
      </c>
      <c r="T21" s="67"/>
      <c r="U21" s="86"/>
    </row>
    <row r="22" spans="1:21" ht="20" customHeight="1" x14ac:dyDescent="0.15">
      <c r="A22" s="12">
        <v>1</v>
      </c>
      <c r="B22" s="61">
        <f>IF(SUMIF('regrets 6'!$B22:$F22, "&gt;0") &gt; 0, MAX('regrets 6'!B22, 0) / SUMIF('regrets 6'!$B22:$F22, "&gt;0"), 1 / COUNT('regrets 6'!$B22:$F22))</f>
        <v>0.5</v>
      </c>
      <c r="C22" s="61">
        <f>IF(SUMIF('regrets 6'!$B22:$F22, "&gt;0") &gt; 0, MAX('regrets 6'!C22, 0) / SUMIF('regrets 6'!$B22:$F22, "&gt;0"), 1 / COUNT('regrets 6'!$B22:$F22))</f>
        <v>0.5</v>
      </c>
      <c r="D22" s="61"/>
      <c r="E22" s="62"/>
      <c r="F22" s="90"/>
      <c r="G22" s="60">
        <f>IF(SUMIF('regrets 6'!$G22:$K22, "&gt;0") &gt; 0, MAX('regrets 6'!G22, 0) / SUMIF('regrets 6'!$G22:$K22, "&gt;0"), 1 / COUNT('regrets 6'!$G22:$K22))</f>
        <v>0.5</v>
      </c>
      <c r="H22" s="60">
        <f>IF(SUMIF('regrets 6'!$G22:$K22, "&gt;0") &gt; 0, MAX('regrets 6'!H22, 0) / SUMIF('regrets 6'!$G22:$K22, "&gt;0"), 1 / COUNT('regrets 6'!$G22:$K22))</f>
        <v>0.5</v>
      </c>
      <c r="I22" s="61"/>
      <c r="J22" s="62"/>
      <c r="K22" s="90"/>
      <c r="L22" s="60">
        <f>IF(SUMIF('regrets 6'!$L22:$P22, "&gt;0") &gt; 0, MAX('regrets 6'!L22, 0) / SUMIF('regrets 6'!$L22:$P22, "&gt;0"), 1 / COUNT('regrets 6'!$L22:$P22))</f>
        <v>0.5</v>
      </c>
      <c r="M22" s="60">
        <f>IF(SUMIF('regrets 6'!$L22:$P22, "&gt;0") &gt; 0, MAX('regrets 6'!M22, 0) / SUMIF('regrets 6'!$L22:$P22, "&gt;0"), 1 / COUNT('regrets 6'!$L22:$P22))</f>
        <v>0.5</v>
      </c>
      <c r="N22" s="62"/>
      <c r="O22" s="62"/>
      <c r="P22" s="81"/>
      <c r="Q22" s="60">
        <f>IF(SUMIF('regrets 6'!$Q22:$U22, "&gt;0") &gt; 0, MAX('regrets 6'!Q22, 0) / SUMIF('regrets 6'!$Q22:$U22, "&gt;0"), 1 / COUNT('regrets 6'!$Q22:$U22))</f>
        <v>0.5</v>
      </c>
      <c r="R22" s="60">
        <f>IF(SUMIF('regrets 6'!$Q22:$U22, "&gt;0") &gt; 0, MAX('regrets 6'!R22, 0) / SUMIF('regrets 6'!$Q22:$U22, "&gt;0"), 1 / COUNT('regrets 6'!$Q22:$U22))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IF(SUMIF('regrets 6'!$B23:$F23, "&gt;0") &gt; 0, MAX('regrets 6'!C23, 0) / SUMIF('regrets 6'!$B23:$F23, "&gt;0"), 1 / COUNT('regrets 6'!$B23:$F23))</f>
        <v>0.5</v>
      </c>
      <c r="D23" s="61">
        <f>IF(SUMIF('regrets 6'!$B23:$F23, "&gt;0") &gt; 0, MAX('regrets 6'!D23, 0) / SUMIF('regrets 6'!$B23:$F23, "&gt;0"), 1 / COUNT('regrets 6'!$B23:$F23))</f>
        <v>0.5</v>
      </c>
      <c r="E23" s="62"/>
      <c r="F23" s="90"/>
      <c r="G23" s="60"/>
      <c r="H23" s="60">
        <f>IF(SUMIF('regrets 6'!$G23:$K23, "&gt;0") &gt; 0, MAX('regrets 6'!H23, 0) / SUMIF('regrets 6'!$G23:$K23, "&gt;0"), 1 / COUNT('regrets 6'!$G23:$K23))</f>
        <v>0.5</v>
      </c>
      <c r="I23" s="60">
        <f>IF(SUMIF('regrets 6'!$G23:$K23, "&gt;0") &gt; 0, MAX('regrets 6'!I23, 0) / SUMIF('regrets 6'!$G23:$K23, "&gt;0"), 1 / COUNT('regrets 6'!$G23:$K23))</f>
        <v>0.5</v>
      </c>
      <c r="J23" s="62"/>
      <c r="K23" s="90"/>
      <c r="L23" s="66"/>
      <c r="M23" s="60">
        <f>IF(SUMIF('regrets 6'!$L23:$P23, "&gt;0") &gt; 0, MAX('regrets 6'!M23, 0) / SUMIF('regrets 6'!$L23:$P23, "&gt;0"), 1 / COUNT('regrets 6'!$L23:$P23))</f>
        <v>0.5</v>
      </c>
      <c r="N23" s="60">
        <f>IF(SUMIF('regrets 6'!$L23:$P23, "&gt;0") &gt; 0, MAX('regrets 6'!N23, 0) / SUMIF('regrets 6'!$L23:$P23, "&gt;0"), 1 / COUNT('regrets 6'!$L23:$P23))</f>
        <v>0.5</v>
      </c>
      <c r="O23" s="62"/>
      <c r="P23" s="81"/>
      <c r="Q23" s="60"/>
      <c r="R23" s="60">
        <f>IF(SUMIF('regrets 6'!$Q23:$U23, "&gt;0") &gt; 0, MAX('regrets 6'!R23, 0) / SUMIF('regrets 6'!$Q23:$U23, "&gt;0"), 1 / COUNT('regrets 6'!$Q23:$U23))</f>
        <v>0.5</v>
      </c>
      <c r="S23" s="60">
        <f>IF(SUMIF('regrets 6'!$Q23:$U23, "&gt;0") &gt; 0, MAX('regrets 6'!S23, 0) / SUMIF('regrets 6'!$Q23:$U23, "&gt;0"), 1 / COUNT('regrets 6'!$Q23:$U23))</f>
        <v>0.5</v>
      </c>
      <c r="T23" s="62"/>
      <c r="U23" s="90"/>
    </row>
    <row r="24" spans="1:21" ht="20" customHeight="1" x14ac:dyDescent="0.15">
      <c r="A24" s="12">
        <v>3</v>
      </c>
      <c r="B24" s="61">
        <f>IF(SUMIF('regrets 6'!$B24:$F24, "&gt;0") &gt; 0, MAX('regrets 6'!B24, 0) / SUMIF('regrets 6'!$B24:$F24, "&gt;0"), 1 / COUNT('regrets 6'!$B24:$F24))</f>
        <v>0.5</v>
      </c>
      <c r="C24" s="61">
        <f>IF(SUMIF('regrets 6'!$B24:$F24, "&gt;0") &gt; 0, MAX('regrets 6'!C24, 0) / SUMIF('regrets 6'!$B24:$F24, "&gt;0"), 1 / COUNT('regrets 6'!$B24:$F24))</f>
        <v>0.5</v>
      </c>
      <c r="D24" s="61"/>
      <c r="E24" s="62"/>
      <c r="F24" s="90"/>
      <c r="G24" s="60">
        <f>IF(SUMIF('regrets 6'!$G24:$K24, "&gt;0") &gt; 0, MAX('regrets 6'!G24, 0) / SUMIF('regrets 6'!$G24:$K24, "&gt;0"), 1 / COUNT('regrets 6'!$G24:$K24))</f>
        <v>0</v>
      </c>
      <c r="H24" s="60">
        <f>IF(SUMIF('regrets 6'!$G24:$K24, "&gt;0") &gt; 0, MAX('regrets 6'!H24, 0) / SUMIF('regrets 6'!$G24:$K24, "&gt;0"), 1 / COUNT('regrets 6'!$G24:$K24))</f>
        <v>1</v>
      </c>
      <c r="I24" s="61"/>
      <c r="J24" s="62"/>
      <c r="K24" s="90"/>
      <c r="L24" s="60">
        <f>IF(SUMIF('regrets 6'!$L24:$P24, "&gt;0") &gt; 0, MAX('regrets 6'!L24, 0) / SUMIF('regrets 6'!$L24:$P24, "&gt;0"), 1 / COUNT('regrets 6'!$L24:$P24))</f>
        <v>0.5</v>
      </c>
      <c r="M24" s="60">
        <f>IF(SUMIF('regrets 6'!$L24:$P24, "&gt;0") &gt; 0, MAX('regrets 6'!M24, 0) / SUMIF('regrets 6'!$L24:$P24, "&gt;0"), 1 / COUNT('regrets 6'!$L24:$P24))</f>
        <v>0.5</v>
      </c>
      <c r="N24" s="62"/>
      <c r="O24" s="62"/>
      <c r="P24" s="81"/>
      <c r="Q24" s="60">
        <f>IF(SUMIF('regrets 6'!$Q24:$U24, "&gt;0") &gt; 0, MAX('regrets 6'!Q24, 0) / SUMIF('regrets 6'!$Q24:$U24, "&gt;0"), 1 / COUNT('regrets 6'!$Q24:$U24))</f>
        <v>0.5</v>
      </c>
      <c r="R24" s="60">
        <f>IF(SUMIF('regrets 6'!$Q24:$U24, "&gt;0") &gt; 0, MAX('regrets 6'!R24, 0) / SUMIF('regrets 6'!$Q24:$U24, "&gt;0"), 1 / COUNT('regrets 6'!$Q24:$U24))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IF(SUMIF('regrets 6'!$B25:$F25, "&gt;0") &gt; 0, MAX('regrets 6'!C25, 0) / SUMIF('regrets 6'!$B25:$F25, "&gt;0"), 1 / COUNT('regrets 6'!$B25:$F25))</f>
        <v>0.5</v>
      </c>
      <c r="D25" s="61">
        <f>IF(SUMIF('regrets 6'!$B25:$F25, "&gt;0") &gt; 0, MAX('regrets 6'!D25, 0) / SUMIF('regrets 6'!$B25:$F25, "&gt;0"), 1 / COUNT('regrets 6'!$B25:$F25))</f>
        <v>0.5</v>
      </c>
      <c r="E25" s="62"/>
      <c r="F25" s="90"/>
      <c r="G25" s="60"/>
      <c r="H25" s="60">
        <f>IF(SUMIF('regrets 6'!$G25:$K25, "&gt;0") &gt; 0, MAX('regrets 6'!H25, 0) / SUMIF('regrets 6'!$G25:$K25, "&gt;0"), 1 / COUNT('regrets 6'!$G25:$K25))</f>
        <v>1</v>
      </c>
      <c r="I25" s="60">
        <f>IF(SUMIF('regrets 6'!$G25:$K25, "&gt;0") &gt; 0, MAX('regrets 6'!I25, 0) / SUMIF('regrets 6'!$G25:$K25, "&gt;0"), 1 / COUNT('regrets 6'!$G25:$K25))</f>
        <v>0</v>
      </c>
      <c r="J25" s="62"/>
      <c r="K25" s="90"/>
      <c r="L25" s="66"/>
      <c r="M25" s="60">
        <f>IF(SUMIF('regrets 6'!$L25:$P25, "&gt;0") &gt; 0, MAX('regrets 6'!M25, 0) / SUMIF('regrets 6'!$L25:$P25, "&gt;0"), 1 / COUNT('regrets 6'!$L25:$P25))</f>
        <v>0.5</v>
      </c>
      <c r="N25" s="60">
        <f>IF(SUMIF('regrets 6'!$L25:$P25, "&gt;0") &gt; 0, MAX('regrets 6'!N25, 0) / SUMIF('regrets 6'!$L25:$P25, "&gt;0"), 1 / COUNT('regrets 6'!$L25:$P25))</f>
        <v>0.5</v>
      </c>
      <c r="O25" s="62"/>
      <c r="P25" s="81"/>
      <c r="Q25" s="60"/>
      <c r="R25" s="60">
        <f>IF(SUMIF('regrets 6'!$Q25:$U25, "&gt;0") &gt; 0, MAX('regrets 6'!R25, 0) / SUMIF('regrets 6'!$Q25:$U25, "&gt;0"), 1 / COUNT('regrets 6'!$Q25:$U25))</f>
        <v>0.5</v>
      </c>
      <c r="S25" s="60">
        <f>IF(SUMIF('regrets 6'!$Q25:$U25, "&gt;0") &gt; 0, MAX('regrets 6'!S25, 0) / SUMIF('regrets 6'!$Q25:$U25, "&gt;0"), 1 / COUNT('regrets 6'!$Q25:$U25))</f>
        <v>0.5</v>
      </c>
      <c r="T25" s="62"/>
      <c r="U25" s="90"/>
    </row>
    <row r="26" spans="1:21" ht="20" customHeight="1" x14ac:dyDescent="0.15">
      <c r="A26" s="12">
        <v>5</v>
      </c>
      <c r="B26" s="61">
        <f>IF(SUMIF('regrets 6'!$B26:$F26, "&gt;0") &gt; 0, MAX('regrets 6'!B26, 0) / SUMIF('regrets 6'!$B26:$F26, "&gt;0"), 1 / COUNT('regrets 6'!$B26:$F26))</f>
        <v>0.5</v>
      </c>
      <c r="C26" s="61">
        <f>IF(SUMIF('regrets 6'!$B26:$F26, "&gt;0") &gt; 0, MAX('regrets 6'!C26, 0) / SUMIF('regrets 6'!$B26:$F26, "&gt;0"), 1 / COUNT('regrets 6'!$B26:$F26))</f>
        <v>0.5</v>
      </c>
      <c r="D26" s="61"/>
      <c r="E26" s="62"/>
      <c r="F26" s="90"/>
      <c r="G26" s="60">
        <f>IF(SUMIF('regrets 6'!$G26:$K26, "&gt;0") &gt; 0, MAX('regrets 6'!G26, 0) / SUMIF('regrets 6'!$G26:$K26, "&gt;0"), 1 / COUNT('regrets 6'!$G26:$K26))</f>
        <v>1</v>
      </c>
      <c r="H26" s="60">
        <f>IF(SUMIF('regrets 6'!$G26:$K26, "&gt;0") &gt; 0, MAX('regrets 6'!H26, 0) / SUMIF('regrets 6'!$G26:$K26, "&gt;0"), 1 / COUNT('regrets 6'!$G26:$K26))</f>
        <v>0</v>
      </c>
      <c r="I26" s="61"/>
      <c r="J26" s="62"/>
      <c r="K26" s="90"/>
      <c r="L26" s="60">
        <f>IF(SUMIF('regrets 6'!$L26:$P26, "&gt;0") &gt; 0, MAX('regrets 6'!L26, 0) / SUMIF('regrets 6'!$L26:$P26, "&gt;0"), 1 / COUNT('regrets 6'!$L26:$P26))</f>
        <v>1</v>
      </c>
      <c r="M26" s="60">
        <f>IF(SUMIF('regrets 6'!$L26:$P26, "&gt;0") &gt; 0, MAX('regrets 6'!M26, 0) / SUMIF('regrets 6'!$L26:$P26, "&gt;0"), 1 / COUNT('regrets 6'!$L26:$P26))</f>
        <v>0</v>
      </c>
      <c r="N26" s="62"/>
      <c r="O26" s="62"/>
      <c r="P26" s="81"/>
      <c r="Q26" s="60">
        <f>IF(SUMIF('regrets 6'!$Q26:$U26, "&gt;0") &gt; 0, MAX('regrets 6'!Q26, 0) / SUMIF('regrets 6'!$Q26:$U26, "&gt;0"), 1 / COUNT('regrets 6'!$Q26:$U26))</f>
        <v>0.5</v>
      </c>
      <c r="R26" s="60">
        <f>IF(SUMIF('regrets 6'!$Q26:$U26, "&gt;0") &gt; 0, MAX('regrets 6'!R26, 0) / SUMIF('regrets 6'!$Q26:$U26, "&gt;0"), 1 / COUNT('regrets 6'!$Q26:$U26))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IF(SUMIF('regrets 6'!$B27:$F27, "&gt;0") &gt; 0, MAX('regrets 6'!C27, 0) / SUMIF('regrets 6'!$B27:$F27, "&gt;0"), 1 / COUNT('regrets 6'!$B27:$F27))</f>
        <v>0</v>
      </c>
      <c r="D27" s="61">
        <f>IF(SUMIF('regrets 6'!$B27:$F27, "&gt;0") &gt; 0, MAX('regrets 6'!D27, 0) / SUMIF('regrets 6'!$B27:$F27, "&gt;0"), 1 / COUNT('regrets 6'!$B27:$F27))</f>
        <v>1</v>
      </c>
      <c r="E27" s="62"/>
      <c r="F27" s="90"/>
      <c r="G27" s="60"/>
      <c r="H27" s="60">
        <f>IF(SUMIF('regrets 6'!$G27:$K27, "&gt;0") &gt; 0, MAX('regrets 6'!H27, 0) / SUMIF('regrets 6'!$G27:$K27, "&gt;0"), 1 / COUNT('regrets 6'!$G27:$K27))</f>
        <v>0.5</v>
      </c>
      <c r="I27" s="60">
        <f>IF(SUMIF('regrets 6'!$G27:$K27, "&gt;0") &gt; 0, MAX('regrets 6'!I27, 0) / SUMIF('regrets 6'!$G27:$K27, "&gt;0"), 1 / COUNT('regrets 6'!$G27:$K27))</f>
        <v>0.5</v>
      </c>
      <c r="J27" s="62"/>
      <c r="K27" s="90"/>
      <c r="L27" s="66"/>
      <c r="M27" s="60">
        <f>IF(SUMIF('regrets 6'!$L27:$P27, "&gt;0") &gt; 0, MAX('regrets 6'!M27, 0) / SUMIF('regrets 6'!$L27:$P27, "&gt;0"), 1 / COUNT('regrets 6'!$L27:$P27))</f>
        <v>0.5</v>
      </c>
      <c r="N27" s="60">
        <f>IF(SUMIF('regrets 6'!$L27:$P27, "&gt;0") &gt; 0, MAX('regrets 6'!N27, 0) / SUMIF('regrets 6'!$L27:$P27, "&gt;0"), 1 / COUNT('regrets 6'!$L27:$P27))</f>
        <v>0.5</v>
      </c>
      <c r="O27" s="62"/>
      <c r="P27" s="81"/>
      <c r="Q27" s="60"/>
      <c r="R27" s="60">
        <f>IF(SUMIF('regrets 6'!$Q27:$U27, "&gt;0") &gt; 0, MAX('regrets 6'!R27, 0) / SUMIF('regrets 6'!$Q27:$U27, "&gt;0"), 1 / COUNT('regrets 6'!$Q27:$U27))</f>
        <v>0.5</v>
      </c>
      <c r="S27" s="60">
        <f>IF(SUMIF('regrets 6'!$Q27:$U27, "&gt;0") &gt; 0, MAX('regrets 6'!S27, 0) / SUMIF('regrets 6'!$Q27:$U27, "&gt;0"), 1 / COUNT('regrets 6'!$Q27:$U27))</f>
        <v>0.5</v>
      </c>
      <c r="T27" s="62"/>
      <c r="U27" s="90"/>
    </row>
    <row r="28" spans="1:21" ht="20" customHeight="1" x14ac:dyDescent="0.15">
      <c r="A28" s="12">
        <v>7</v>
      </c>
      <c r="B28" s="61">
        <f>IF(SUMIF('regrets 6'!$B28:$F28, "&gt;0") &gt; 0, MAX('regrets 6'!B28, 0) / SUMIF('regrets 6'!$B28:$F28, "&gt;0"), 1 / COUNT('regrets 6'!$B28:$F28))</f>
        <v>0.5</v>
      </c>
      <c r="C28" s="61">
        <f>IF(SUMIF('regrets 6'!$B28:$F28, "&gt;0") &gt; 0, MAX('regrets 6'!C28, 0) / SUMIF('regrets 6'!$B28:$F28, "&gt;0"), 1 / COUNT('regrets 6'!$B28:$F28))</f>
        <v>0.5</v>
      </c>
      <c r="D28" s="61"/>
      <c r="E28" s="62"/>
      <c r="F28" s="90"/>
      <c r="G28" s="60">
        <f>IF(SUMIF('regrets 6'!$G28:$K28, "&gt;0") &gt; 0, MAX('regrets 6'!G28, 0) / SUMIF('regrets 6'!$G28:$K28, "&gt;0"), 1 / COUNT('regrets 6'!$G28:$K28))</f>
        <v>0.5</v>
      </c>
      <c r="H28" s="60">
        <f>IF(SUMIF('regrets 6'!$G28:$K28, "&gt;0") &gt; 0, MAX('regrets 6'!H28, 0) / SUMIF('regrets 6'!$G28:$K28, "&gt;0"), 1 / COUNT('regrets 6'!$G28:$K28))</f>
        <v>0.5</v>
      </c>
      <c r="I28" s="61"/>
      <c r="J28" s="62"/>
      <c r="K28" s="90"/>
      <c r="L28" s="60">
        <f>IF(SUMIF('regrets 6'!$L28:$P28, "&gt;0") &gt; 0, MAX('regrets 6'!L28, 0) / SUMIF('regrets 6'!$L28:$P28, "&gt;0"), 1 / COUNT('regrets 6'!$L28:$P28))</f>
        <v>0.5</v>
      </c>
      <c r="M28" s="60">
        <f>IF(SUMIF('regrets 6'!$L28:$P28, "&gt;0") &gt; 0, MAX('regrets 6'!M28, 0) / SUMIF('regrets 6'!$L28:$P28, "&gt;0"), 1 / COUNT('regrets 6'!$L28:$P28))</f>
        <v>0.5</v>
      </c>
      <c r="N28" s="62"/>
      <c r="O28" s="62"/>
      <c r="P28" s="81"/>
      <c r="Q28" s="60">
        <f>IF(SUMIF('regrets 6'!$Q28:$U28, "&gt;0") &gt; 0, MAX('regrets 6'!Q28, 0) / SUMIF('regrets 6'!$Q28:$U28, "&gt;0"), 1 / COUNT('regrets 6'!$Q28:$U28))</f>
        <v>0.5</v>
      </c>
      <c r="R28" s="60">
        <f>IF(SUMIF('regrets 6'!$Q28:$U28, "&gt;0") &gt; 0, MAX('regrets 6'!R28, 0) / SUMIF('regrets 6'!$Q28:$U28, "&gt;0"), 1 / COUNT('regrets 6'!$Q28:$U28))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IF(SUMIF('regrets 6'!$B29:$F29, "&gt;0") &gt; 0, MAX('regrets 6'!C29, 0) / SUMIF('regrets 6'!$B29:$F29, "&gt;0"), 1 / COUNT('regrets 6'!$B29:$F29))</f>
        <v>0.5</v>
      </c>
      <c r="D29" s="61">
        <f>IF(SUMIF('regrets 6'!$B29:$F29, "&gt;0") &gt; 0, MAX('regrets 6'!D29, 0) / SUMIF('regrets 6'!$B29:$F29, "&gt;0"), 1 / COUNT('regrets 6'!$B29:$F29))</f>
        <v>0.5</v>
      </c>
      <c r="E29" s="62"/>
      <c r="F29" s="90"/>
      <c r="G29" s="60"/>
      <c r="H29" s="60">
        <f>IF(SUMIF('regrets 6'!$G29:$K29, "&gt;0") &gt; 0, MAX('regrets 6'!H29, 0) / SUMIF('regrets 6'!$G29:$K29, "&gt;0"), 1 / COUNT('regrets 6'!$G29:$K29))</f>
        <v>0.5</v>
      </c>
      <c r="I29" s="60">
        <f>IF(SUMIF('regrets 6'!$G29:$K29, "&gt;0") &gt; 0, MAX('regrets 6'!I29, 0) / SUMIF('regrets 6'!$G29:$K29, "&gt;0"), 1 / COUNT('regrets 6'!$G29:$K29))</f>
        <v>0.5</v>
      </c>
      <c r="J29" s="62"/>
      <c r="K29" s="90"/>
      <c r="L29" s="66"/>
      <c r="M29" s="60">
        <f>IF(SUMIF('regrets 6'!$L29:$P29, "&gt;0") &gt; 0, MAX('regrets 6'!M29, 0) / SUMIF('regrets 6'!$L29:$P29, "&gt;0"), 1 / COUNT('regrets 6'!$L29:$P29))</f>
        <v>0.5</v>
      </c>
      <c r="N29" s="60">
        <f>IF(SUMIF('regrets 6'!$L29:$P29, "&gt;0") &gt; 0, MAX('regrets 6'!N29, 0) / SUMIF('regrets 6'!$L29:$P29, "&gt;0"), 1 / COUNT('regrets 6'!$L29:$P29))</f>
        <v>0.5</v>
      </c>
      <c r="O29" s="62"/>
      <c r="P29" s="81"/>
      <c r="Q29" s="60"/>
      <c r="R29" s="60">
        <f>IF(SUMIF('regrets 6'!$Q29:$U29, "&gt;0") &gt; 0, MAX('regrets 6'!R29, 0) / SUMIF('regrets 6'!$Q29:$U29, "&gt;0"), 1 / COUNT('regrets 6'!$Q29:$U29))</f>
        <v>1</v>
      </c>
      <c r="S29" s="60">
        <f>IF(SUMIF('regrets 6'!$Q29:$U29, "&gt;0") &gt; 0, MAX('regrets 6'!S29, 0) / SUMIF('regrets 6'!$Q29:$U29, "&gt;0"), 1 / COUNT('regrets 6'!$Q29:$U29))</f>
        <v>0</v>
      </c>
      <c r="T29" s="62"/>
      <c r="U29" s="90"/>
    </row>
    <row r="30" spans="1:21" ht="20" customHeight="1" x14ac:dyDescent="0.15">
      <c r="A30" s="12">
        <v>9</v>
      </c>
      <c r="B30" s="61">
        <f>IF(SUMIF('regrets 6'!$B30:$F30, "&gt;0") &gt; 0, MAX('regrets 6'!B30, 0) / SUMIF('regrets 6'!$B30:$F30, "&gt;0"), 1 / COUNT('regrets 6'!$B30:$F30))</f>
        <v>0.5</v>
      </c>
      <c r="C30" s="61">
        <f>IF(SUMIF('regrets 6'!$B30:$F30, "&gt;0") &gt; 0, MAX('regrets 6'!C30, 0) / SUMIF('regrets 6'!$B30:$F30, "&gt;0"), 1 / COUNT('regrets 6'!$B30:$F30))</f>
        <v>0.5</v>
      </c>
      <c r="D30" s="61"/>
      <c r="E30" s="62"/>
      <c r="F30" s="90"/>
      <c r="G30" s="60">
        <f>IF(SUMIF('regrets 6'!$G30:$K30, "&gt;0") &gt; 0, MAX('regrets 6'!G30, 0) / SUMIF('regrets 6'!$G30:$K30, "&gt;0"), 1 / COUNT('regrets 6'!$G30:$K30))</f>
        <v>0.5</v>
      </c>
      <c r="H30" s="60">
        <f>IF(SUMIF('regrets 6'!$G30:$K30, "&gt;0") &gt; 0, MAX('regrets 6'!H30, 0) / SUMIF('regrets 6'!$G30:$K30, "&gt;0"), 1 / COUNT('regrets 6'!$G30:$K30))</f>
        <v>0.5</v>
      </c>
      <c r="I30" s="61"/>
      <c r="J30" s="62"/>
      <c r="K30" s="90"/>
      <c r="L30" s="60">
        <f>IF(SUMIF('regrets 6'!$L30:$P30, "&gt;0") &gt; 0, MAX('regrets 6'!L30, 0) / SUMIF('regrets 6'!$L30:$P30, "&gt;0"), 1 / COUNT('regrets 6'!$L30:$P30))</f>
        <v>0.5</v>
      </c>
      <c r="M30" s="60">
        <f>IF(SUMIF('regrets 6'!$L30:$P30, "&gt;0") &gt; 0, MAX('regrets 6'!M30, 0) / SUMIF('regrets 6'!$L30:$P30, "&gt;0"), 1 / COUNT('regrets 6'!$L30:$P30))</f>
        <v>0.5</v>
      </c>
      <c r="N30" s="62"/>
      <c r="O30" s="62"/>
      <c r="P30" s="81"/>
      <c r="Q30" s="60">
        <f>IF(SUMIF('regrets 6'!$Q30:$U30, "&gt;0") &gt; 0, MAX('regrets 6'!Q30, 0) / SUMIF('regrets 6'!$Q30:$U30, "&gt;0"), 1 / COUNT('regrets 6'!$Q30:$U30))</f>
        <v>0.5</v>
      </c>
      <c r="R30" s="60">
        <f>IF(SUMIF('regrets 6'!$Q30:$U30, "&gt;0") &gt; 0, MAX('regrets 6'!R30, 0) / SUMIF('regrets 6'!$Q30:$U30, "&gt;0"), 1 / COUNT('regrets 6'!$Q30:$U30))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IF(SUMIF('regrets 6'!$B31:$F31, "&gt;0") &gt; 0, MAX('regrets 6'!B31, 0) / SUMIF('regrets 6'!$B31:$F31, "&gt;0"), 1 / COUNT('regrets 6'!$B31:$F31))</f>
        <v>1</v>
      </c>
      <c r="C31" s="61">
        <f>IF(SUMIF('regrets 6'!$B31:$F31, "&gt;0") &gt; 0, MAX('regrets 6'!C31, 0) / SUMIF('regrets 6'!$B31:$F31, "&gt;0"), 1 / COUNT('regrets 6'!$B31:$F31))</f>
        <v>0</v>
      </c>
      <c r="D31" s="61"/>
      <c r="E31" s="62"/>
      <c r="F31" s="90"/>
      <c r="G31" s="60">
        <f>IF(SUMIF('regrets 6'!$G31:$K31, "&gt;0") &gt; 0, MAX('regrets 6'!G31, 0) / SUMIF('regrets 6'!$G31:$K31, "&gt;0"), 1 / COUNT('regrets 6'!$G31:$K31))</f>
        <v>0.5</v>
      </c>
      <c r="H31" s="60">
        <f>IF(SUMIF('regrets 6'!$G31:$K31, "&gt;0") &gt; 0, MAX('regrets 6'!H31, 0) / SUMIF('regrets 6'!$G31:$K31, "&gt;0"), 1 / COUNT('regrets 6'!$G31:$K31))</f>
        <v>0.5</v>
      </c>
      <c r="I31" s="61"/>
      <c r="J31" s="62"/>
      <c r="K31" s="90"/>
      <c r="L31" s="60">
        <f>IF(SUMIF('regrets 6'!$L31:$P31, "&gt;0") &gt; 0, MAX('regrets 6'!L31, 0) / SUMIF('regrets 6'!$L31:$P31, "&gt;0"), 1 / COUNT('regrets 6'!$L31:$P31))</f>
        <v>0.5</v>
      </c>
      <c r="M31" s="60">
        <f>IF(SUMIF('regrets 6'!$L31:$P31, "&gt;0") &gt; 0, MAX('regrets 6'!M31, 0) / SUMIF('regrets 6'!$L31:$P31, "&gt;0"), 1 / COUNT('regrets 6'!$L31:$P31))</f>
        <v>0.5</v>
      </c>
      <c r="N31" s="62"/>
      <c r="O31" s="62"/>
      <c r="P31" s="81"/>
      <c r="Q31" s="60">
        <f>IF(SUMIF('regrets 6'!$Q31:$U31, "&gt;0") &gt; 0, MAX('regrets 6'!Q31, 0) / SUMIF('regrets 6'!$Q31:$U31, "&gt;0"), 1 / COUNT('regrets 6'!$Q31:$U31))</f>
        <v>0.5</v>
      </c>
      <c r="R31" s="60">
        <f>IF(SUMIF('regrets 6'!$Q31:$U31, "&gt;0") &gt; 0, MAX('regrets 6'!R31, 0) / SUMIF('regrets 6'!$Q31:$U31, "&gt;0"), 1 / COUNT('regrets 6'!$Q31:$U31))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IF(SUMIF('regrets 6'!$B32:$F32, "&gt;0") &gt; 0, MAX('regrets 6'!B32, 0) / SUMIF('regrets 6'!$B32:$F32, "&gt;0"), 1 / COUNT('regrets 6'!$B32:$F32))</f>
        <v>0.5</v>
      </c>
      <c r="C32" s="61">
        <f>IF(SUMIF('regrets 6'!$B32:$F32, "&gt;0") &gt; 0, MAX('regrets 6'!C32, 0) / SUMIF('regrets 6'!$B32:$F32, "&gt;0"), 1 / COUNT('regrets 6'!$B32:$F32))</f>
        <v>0.5</v>
      </c>
      <c r="D32" s="61"/>
      <c r="E32" s="62"/>
      <c r="F32" s="90"/>
      <c r="G32" s="60">
        <f>IF(SUMIF('regrets 6'!$G32:$K32, "&gt;0") &gt; 0, MAX('regrets 6'!G32, 0) / SUMIF('regrets 6'!$G32:$K32, "&gt;0"), 1 / COUNT('regrets 6'!$G32:$K32))</f>
        <v>0.5</v>
      </c>
      <c r="H32" s="60">
        <f>IF(SUMIF('regrets 6'!$G32:$K32, "&gt;0") &gt; 0, MAX('regrets 6'!H32, 0) / SUMIF('regrets 6'!$G32:$K32, "&gt;0"), 1 / COUNT('regrets 6'!$G32:$K32))</f>
        <v>0.5</v>
      </c>
      <c r="I32" s="61"/>
      <c r="J32" s="62"/>
      <c r="K32" s="90"/>
      <c r="L32" s="60">
        <f>IF(SUMIF('regrets 6'!$L32:$P32, "&gt;0") &gt; 0, MAX('regrets 6'!L32, 0) / SUMIF('regrets 6'!$L32:$P32, "&gt;0"), 1 / COUNT('regrets 6'!$L32:$P32))</f>
        <v>0.5</v>
      </c>
      <c r="M32" s="60">
        <f>IF(SUMIF('regrets 6'!$L32:$P32, "&gt;0") &gt; 0, MAX('regrets 6'!M32, 0) / SUMIF('regrets 6'!$L32:$P32, "&gt;0"), 1 / COUNT('regrets 6'!$L32:$P32))</f>
        <v>0.5</v>
      </c>
      <c r="N32" s="62"/>
      <c r="O32" s="62"/>
      <c r="P32" s="81"/>
      <c r="Q32" s="60">
        <f>IF(SUMIF('regrets 6'!$Q32:$U32, "&gt;0") &gt; 0, MAX('regrets 6'!Q32, 0) / SUMIF('regrets 6'!$Q32:$U32, "&gt;0"), 1 / COUNT('regrets 6'!$Q32:$U32))</f>
        <v>0.5</v>
      </c>
      <c r="R32" s="60">
        <f>IF(SUMIF('regrets 6'!$Q32:$U32, "&gt;0") &gt; 0, MAX('regrets 6'!R32, 0) / SUMIF('regrets 6'!$Q32:$U32, "&gt;0"), 1 / COUNT('regrets 6'!$Q32:$U32))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IF(SUMIF('regrets 6'!$B33:$F33, "&gt;0") &gt; 0, MAX('regrets 6'!C33, 0) / SUMIF('regrets 6'!$B33:$F33, "&gt;0"), 1 / COUNT('regrets 6'!$B33:$F33))</f>
        <v>0.5</v>
      </c>
      <c r="D33" s="61">
        <f>IF(SUMIF('regrets 6'!$B33:$F33, "&gt;0") &gt; 0, MAX('regrets 6'!D33, 0) / SUMIF('regrets 6'!$B33:$F33, "&gt;0"), 1 / COUNT('regrets 6'!$B33:$F33))</f>
        <v>0.5</v>
      </c>
      <c r="E33" s="62"/>
      <c r="F33" s="90"/>
      <c r="G33" s="60"/>
      <c r="H33" s="60">
        <f>IF(SUMIF('regrets 6'!$G33:$K33, "&gt;0") &gt; 0, MAX('regrets 6'!H33, 0) / SUMIF('regrets 6'!$G33:$K33, "&gt;0"), 1 / COUNT('regrets 6'!$G33:$K33))</f>
        <v>0.5</v>
      </c>
      <c r="I33" s="60">
        <f>IF(SUMIF('regrets 6'!$G33:$K33, "&gt;0") &gt; 0, MAX('regrets 6'!I33, 0) / SUMIF('regrets 6'!$G33:$K33, "&gt;0"), 1 / COUNT('regrets 6'!$G33:$K33))</f>
        <v>0.5</v>
      </c>
      <c r="J33" s="62"/>
      <c r="K33" s="90"/>
      <c r="L33" s="66"/>
      <c r="M33" s="60">
        <f>IF(SUMIF('regrets 6'!$L33:$P33, "&gt;0") &gt; 0, MAX('regrets 6'!M33, 0) / SUMIF('regrets 6'!$L33:$P33, "&gt;0"), 1 / COUNT('regrets 6'!$L33:$P33))</f>
        <v>0.5</v>
      </c>
      <c r="N33" s="60">
        <f>IF(SUMIF('regrets 6'!$L33:$P33, "&gt;0") &gt; 0, MAX('regrets 6'!N33, 0) / SUMIF('regrets 6'!$L33:$P33, "&gt;0"), 1 / COUNT('regrets 6'!$L33:$P33))</f>
        <v>0.5</v>
      </c>
      <c r="O33" s="62"/>
      <c r="P33" s="81"/>
      <c r="Q33" s="60"/>
      <c r="R33" s="60">
        <f>IF(SUMIF('regrets 6'!$Q33:$U33, "&gt;0") &gt; 0, MAX('regrets 6'!R33, 0) / SUMIF('regrets 6'!$Q33:$U33, "&gt;0"), 1 / COUNT('regrets 6'!$Q33:$U33))</f>
        <v>0.5</v>
      </c>
      <c r="S33" s="60">
        <f>IF(SUMIF('regrets 6'!$Q33:$U33, "&gt;0") &gt; 0, MAX('regrets 6'!S33, 0) / SUMIF('regrets 6'!$Q33:$U33, "&gt;0"), 1 / COUNT('regrets 6'!$Q33:$U33))</f>
        <v>0.5</v>
      </c>
      <c r="T33" s="62"/>
      <c r="U33" s="90"/>
    </row>
    <row r="34" spans="1:21" ht="20" customHeight="1" x14ac:dyDescent="0.15">
      <c r="A34" s="12">
        <v>13</v>
      </c>
      <c r="B34" s="61">
        <f>IF(SUMIF('regrets 6'!$B34:$F34, "&gt;0") &gt; 0, MAX('regrets 6'!B34, 0) / SUMIF('regrets 6'!$B34:$F34, "&gt;0"), 1 / COUNT('regrets 6'!$B34:$F34))</f>
        <v>0.5</v>
      </c>
      <c r="C34" s="61">
        <f>IF(SUMIF('regrets 6'!$B34:$F34, "&gt;0") &gt; 0, MAX('regrets 6'!C34, 0) / SUMIF('regrets 6'!$B34:$F34, "&gt;0"), 1 / COUNT('regrets 6'!$B34:$F34))</f>
        <v>0.5</v>
      </c>
      <c r="D34" s="61"/>
      <c r="E34" s="62"/>
      <c r="F34" s="90"/>
      <c r="G34" s="60">
        <f>IF(SUMIF('regrets 6'!$G34:$K34, "&gt;0") &gt; 0, MAX('regrets 6'!G34, 0) / SUMIF('regrets 6'!$G34:$K34, "&gt;0"), 1 / COUNT('regrets 6'!$G34:$K34))</f>
        <v>0.5</v>
      </c>
      <c r="H34" s="60">
        <f>IF(SUMIF('regrets 6'!$G34:$K34, "&gt;0") &gt; 0, MAX('regrets 6'!H34, 0) / SUMIF('regrets 6'!$G34:$K34, "&gt;0"), 1 / COUNT('regrets 6'!$G34:$K34))</f>
        <v>0.5</v>
      </c>
      <c r="I34" s="61"/>
      <c r="J34" s="62"/>
      <c r="K34" s="90"/>
      <c r="L34" s="60">
        <f>IF(SUMIF('regrets 6'!$L34:$P34, "&gt;0") &gt; 0, MAX('regrets 6'!L34, 0) / SUMIF('regrets 6'!$L34:$P34, "&gt;0"), 1 / COUNT('regrets 6'!$L34:$P34))</f>
        <v>0.5</v>
      </c>
      <c r="M34" s="60">
        <f>IF(SUMIF('regrets 6'!$L34:$P34, "&gt;0") &gt; 0, MAX('regrets 6'!M34, 0) / SUMIF('regrets 6'!$L34:$P34, "&gt;0"), 1 / COUNT('regrets 6'!$L34:$P34))</f>
        <v>0.5</v>
      </c>
      <c r="N34" s="62"/>
      <c r="O34" s="62"/>
      <c r="P34" s="81"/>
      <c r="Q34" s="60">
        <f>IF(SUMIF('regrets 6'!$Q34:$U34, "&gt;0") &gt; 0, MAX('regrets 6'!Q34, 0) / SUMIF('regrets 6'!$Q34:$U34, "&gt;0"), 1 / COUNT('regrets 6'!$Q34:$U34))</f>
        <v>0.5</v>
      </c>
      <c r="R34" s="60">
        <f>IF(SUMIF('regrets 6'!$Q34:$U34, "&gt;0") &gt; 0, MAX('regrets 6'!R34, 0) / SUMIF('regrets 6'!$Q34:$U34, "&gt;0"), 1 / COUNT('regrets 6'!$Q34:$U34))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IF(SUMIF('regrets 6'!$B35:$F35, "&gt;0") &gt; 0, MAX('regrets 6'!B35, 0) / SUMIF('regrets 6'!$B35:$F35, "&gt;0"), 1 / COUNT('regrets 6'!$B35:$F35))</f>
        <v>0.5</v>
      </c>
      <c r="C35" s="61">
        <f>IF(SUMIF('regrets 6'!$B35:$F35, "&gt;0") &gt; 0, MAX('regrets 6'!C35, 0) / SUMIF('regrets 6'!$B35:$F35, "&gt;0"), 1 / COUNT('regrets 6'!$B35:$F35))</f>
        <v>0.5</v>
      </c>
      <c r="D35" s="61"/>
      <c r="E35" s="62"/>
      <c r="F35" s="90"/>
      <c r="G35" s="60">
        <f>IF(SUMIF('regrets 6'!$G35:$K35, "&gt;0") &gt; 0, MAX('regrets 6'!G35, 0) / SUMIF('regrets 6'!$G35:$K35, "&gt;0"), 1 / COUNT('regrets 6'!$G35:$K35))</f>
        <v>0.5</v>
      </c>
      <c r="H35" s="60">
        <f>IF(SUMIF('regrets 6'!$G35:$K35, "&gt;0") &gt; 0, MAX('regrets 6'!H35, 0) / SUMIF('regrets 6'!$G35:$K35, "&gt;0"), 1 / COUNT('regrets 6'!$G35:$K35))</f>
        <v>0.5</v>
      </c>
      <c r="I35" s="61"/>
      <c r="J35" s="62"/>
      <c r="K35" s="90"/>
      <c r="L35" s="60">
        <f>IF(SUMIF('regrets 6'!$L35:$P35, "&gt;0") &gt; 0, MAX('regrets 6'!L35, 0) / SUMIF('regrets 6'!$L35:$P35, "&gt;0"), 1 / COUNT('regrets 6'!$L35:$P35))</f>
        <v>0.5</v>
      </c>
      <c r="M35" s="60">
        <f>IF(SUMIF('regrets 6'!$L35:$P35, "&gt;0") &gt; 0, MAX('regrets 6'!M35, 0) / SUMIF('regrets 6'!$L35:$P35, "&gt;0"), 1 / COUNT('regrets 6'!$L35:$P35))</f>
        <v>0.5</v>
      </c>
      <c r="N35" s="62"/>
      <c r="O35" s="62"/>
      <c r="P35" s="81"/>
      <c r="Q35" s="60">
        <f>IF(SUMIF('regrets 6'!$Q35:$U35, "&gt;0") &gt; 0, MAX('regrets 6'!Q35, 0) / SUMIF('regrets 6'!$Q35:$U35, "&gt;0"), 1 / COUNT('regrets 6'!$Q35:$U35))</f>
        <v>1</v>
      </c>
      <c r="R35" s="60">
        <f>IF(SUMIF('regrets 6'!$Q35:$U35, "&gt;0") &gt; 0, MAX('regrets 6'!R35, 0) / SUMIF('regrets 6'!$Q35:$U35, "&gt;0"), 1 / COUNT('regrets 6'!$Q35:$U35))</f>
        <v>0</v>
      </c>
      <c r="S35" s="61"/>
      <c r="T35" s="62"/>
      <c r="U35" s="90"/>
    </row>
    <row r="36" spans="1:21" ht="20" customHeight="1" x14ac:dyDescent="0.15">
      <c r="A36" s="12">
        <v>15</v>
      </c>
      <c r="B36" s="61">
        <f>IF(SUMIF('regrets 6'!$B36:$F36, "&gt;0") &gt; 0, MAX('regrets 6'!B36, 0) / SUMIF('regrets 6'!$B36:$F36, "&gt;0"), 1 / COUNT('regrets 6'!$B36:$F36))</f>
        <v>0.5</v>
      </c>
      <c r="C36" s="61">
        <f>IF(SUMIF('regrets 6'!$B36:$F36, "&gt;0") &gt; 0, MAX('regrets 6'!C36, 0) / SUMIF('regrets 6'!$B36:$F36, "&gt;0"), 1 / COUNT('regrets 6'!$B36:$F36))</f>
        <v>0.5</v>
      </c>
      <c r="D36" s="61"/>
      <c r="E36" s="62"/>
      <c r="F36" s="90"/>
      <c r="G36" s="60">
        <f>IF(SUMIF('regrets 6'!$G36:$K36, "&gt;0") &gt; 0, MAX('regrets 6'!G36, 0) / SUMIF('regrets 6'!$G36:$K36, "&gt;0"), 1 / COUNT('regrets 6'!$G36:$K36))</f>
        <v>0.5</v>
      </c>
      <c r="H36" s="60">
        <f>IF(SUMIF('regrets 6'!$G36:$K36, "&gt;0") &gt; 0, MAX('regrets 6'!H36, 0) / SUMIF('regrets 6'!$G36:$K36, "&gt;0"), 1 / COUNT('regrets 6'!$G36:$K36))</f>
        <v>0.5</v>
      </c>
      <c r="I36" s="61"/>
      <c r="J36" s="62"/>
      <c r="K36" s="90"/>
      <c r="L36" s="60">
        <f>IF(SUMIF('regrets 6'!$L36:$P36, "&gt;0") &gt; 0, MAX('regrets 6'!L36, 0) / SUMIF('regrets 6'!$L36:$P36, "&gt;0"), 1 / COUNT('regrets 6'!$L36:$P36))</f>
        <v>0.5</v>
      </c>
      <c r="M36" s="60">
        <f>IF(SUMIF('regrets 6'!$L36:$P36, "&gt;0") &gt; 0, MAX('regrets 6'!M36, 0) / SUMIF('regrets 6'!$L36:$P36, "&gt;0"), 1 / COUNT('regrets 6'!$L36:$P36))</f>
        <v>0.5</v>
      </c>
      <c r="N36" s="62"/>
      <c r="O36" s="62"/>
      <c r="P36" s="81"/>
      <c r="Q36" s="60">
        <f>IF(SUMIF('regrets 6'!$Q36:$U36, "&gt;0") &gt; 0, MAX('regrets 6'!Q36, 0) / SUMIF('regrets 6'!$Q36:$U36, "&gt;0"), 1 / COUNT('regrets 6'!$Q36:$U36))</f>
        <v>0.5</v>
      </c>
      <c r="R36" s="60">
        <f>IF(SUMIF('regrets 6'!$Q36:$U36, "&gt;0") &gt; 0, MAX('regrets 6'!R36, 0) / SUMIF('regrets 6'!$Q36:$U36, "&gt;0"), 1 / COUNT('regrets 6'!$Q36:$U36))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IF(SUMIF('regrets 6'!$B37:$F37, "&gt;0") &gt; 0, MAX('regrets 6'!C37, 0) / SUMIF('regrets 6'!$B37:$F37, "&gt;0"), 1 / COUNT('regrets 6'!$B37:$F37))</f>
        <v>0.5</v>
      </c>
      <c r="D37" s="61">
        <f>IF(SUMIF('regrets 6'!$B37:$F37, "&gt;0") &gt; 0, MAX('regrets 6'!D37, 0) / SUMIF('regrets 6'!$B37:$F37, "&gt;0"), 1 / COUNT('regrets 6'!$B37:$F37))</f>
        <v>0.5</v>
      </c>
      <c r="E37" s="62"/>
      <c r="F37" s="90"/>
      <c r="G37" s="60"/>
      <c r="H37" s="60">
        <f>IF(SUMIF('regrets 6'!$G37:$K37, "&gt;0") &gt; 0, MAX('regrets 6'!H37, 0) / SUMIF('regrets 6'!$G37:$K37, "&gt;0"), 1 / COUNT('regrets 6'!$G37:$K37))</f>
        <v>0.5</v>
      </c>
      <c r="I37" s="60">
        <f>IF(SUMIF('regrets 6'!$G37:$K37, "&gt;0") &gt; 0, MAX('regrets 6'!I37, 0) / SUMIF('regrets 6'!$G37:$K37, "&gt;0"), 1 / COUNT('regrets 6'!$G37:$K37))</f>
        <v>0.5</v>
      </c>
      <c r="J37" s="62"/>
      <c r="K37" s="90"/>
      <c r="L37" s="66"/>
      <c r="M37" s="60">
        <f>IF(SUMIF('regrets 6'!$L37:$P37, "&gt;0") &gt; 0, MAX('regrets 6'!M37, 0) / SUMIF('regrets 6'!$L37:$P37, "&gt;0"), 1 / COUNT('regrets 6'!$L37:$P37))</f>
        <v>0.5</v>
      </c>
      <c r="N37" s="60">
        <f>IF(SUMIF('regrets 6'!$L37:$P37, "&gt;0") &gt; 0, MAX('regrets 6'!N37, 0) / SUMIF('regrets 6'!$L37:$P37, "&gt;0"), 1 / COUNT('regrets 6'!$L37:$P37))</f>
        <v>0.5</v>
      </c>
      <c r="O37" s="62"/>
      <c r="P37" s="81"/>
      <c r="Q37" s="60"/>
      <c r="R37" s="60">
        <f>IF(SUMIF('regrets 6'!$Q37:$U37, "&gt;0") &gt; 0, MAX('regrets 6'!R37, 0) / SUMIF('regrets 6'!$Q37:$U37, "&gt;0"), 1 / COUNT('regrets 6'!$Q37:$U37))</f>
        <v>0.5</v>
      </c>
      <c r="S37" s="60">
        <f>IF(SUMIF('regrets 6'!$Q37:$U37, "&gt;0") &gt; 0, MAX('regrets 6'!S37, 0) / SUMIF('regrets 6'!$Q37:$U37, "&gt;0"), 1 / COUNT('regrets 6'!$Q37:$U37))</f>
        <v>0.5</v>
      </c>
      <c r="T37" s="62"/>
      <c r="U37" s="90"/>
    </row>
    <row r="38" spans="1:21" ht="20" customHeight="1" x14ac:dyDescent="0.15">
      <c r="A38" s="12">
        <v>17</v>
      </c>
      <c r="B38" s="61">
        <f>IF(SUMIF('regrets 6'!$B38:$F38, "&gt;0") &gt; 0, MAX('regrets 6'!B38, 0) / SUMIF('regrets 6'!$B38:$F38, "&gt;0"), 1 / COUNT('regrets 6'!$B38:$F38))</f>
        <v>0.5</v>
      </c>
      <c r="C38" s="61">
        <f>IF(SUMIF('regrets 6'!$B38:$F38, "&gt;0") &gt; 0, MAX('regrets 6'!C38, 0) / SUMIF('regrets 6'!$B38:$F38, "&gt;0"), 1 / COUNT('regrets 6'!$B38:$F38))</f>
        <v>0.5</v>
      </c>
      <c r="D38" s="61"/>
      <c r="E38" s="62"/>
      <c r="F38" s="90"/>
      <c r="G38" s="60">
        <f>IF(SUMIF('regrets 6'!$G38:$K38, "&gt;0") &gt; 0, MAX('regrets 6'!G38, 0) / SUMIF('regrets 6'!$G38:$K38, "&gt;0"), 1 / COUNT('regrets 6'!$G38:$K38))</f>
        <v>0.5</v>
      </c>
      <c r="H38" s="60">
        <f>IF(SUMIF('regrets 6'!$G38:$K38, "&gt;0") &gt; 0, MAX('regrets 6'!H38, 0) / SUMIF('regrets 6'!$G38:$K38, "&gt;0"), 1 / COUNT('regrets 6'!$G38:$K38))</f>
        <v>0.5</v>
      </c>
      <c r="I38" s="61"/>
      <c r="J38" s="62"/>
      <c r="K38" s="90"/>
      <c r="L38" s="60">
        <f>IF(SUMIF('regrets 6'!$L38:$P38, "&gt;0") &gt; 0, MAX('regrets 6'!L38, 0) / SUMIF('regrets 6'!$L38:$P38, "&gt;0"), 1 / COUNT('regrets 6'!$L38:$P38))</f>
        <v>0.5</v>
      </c>
      <c r="M38" s="60">
        <f>IF(SUMIF('regrets 6'!$L38:$P38, "&gt;0") &gt; 0, MAX('regrets 6'!M38, 0) / SUMIF('regrets 6'!$L38:$P38, "&gt;0"), 1 / COUNT('regrets 6'!$L38:$P38))</f>
        <v>0.5</v>
      </c>
      <c r="N38" s="62"/>
      <c r="O38" s="62"/>
      <c r="P38" s="81"/>
      <c r="Q38" s="60">
        <f>IF(SUMIF('regrets 6'!$Q38:$U38, "&gt;0") &gt; 0, MAX('regrets 6'!Q38, 0) / SUMIF('regrets 6'!$Q38:$U38, "&gt;0"), 1 / COUNT('regrets 6'!$Q38:$U38))</f>
        <v>0.5</v>
      </c>
      <c r="R38" s="60">
        <f>IF(SUMIF('regrets 6'!$Q38:$U38, "&gt;0") &gt; 0, MAX('regrets 6'!R38, 0) / SUMIF('regrets 6'!$Q38:$U38, "&gt;0"), 1 / COUNT('regrets 6'!$Q38:$U38))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IF(SUMIF('regrets 6'!$B39:$F39, "&gt;0") &gt; 0, MAX('regrets 6'!B39, 0) / SUMIF('regrets 6'!$B39:$F39, "&gt;0"), 1 / COUNT('regrets 6'!$B39:$F39))</f>
        <v>0.5</v>
      </c>
      <c r="C39" s="61">
        <f>IF(SUMIF('regrets 6'!$B39:$F39, "&gt;0") &gt; 0, MAX('regrets 6'!C39, 0) / SUMIF('regrets 6'!$B39:$F39, "&gt;0"), 1 / COUNT('regrets 6'!$B39:$F39))</f>
        <v>0.5</v>
      </c>
      <c r="D39" s="61"/>
      <c r="E39" s="62"/>
      <c r="F39" s="90"/>
      <c r="G39" s="60">
        <f>IF(SUMIF('regrets 6'!$G39:$K39, "&gt;0") &gt; 0, MAX('regrets 6'!G39, 0) / SUMIF('regrets 6'!$G39:$K39, "&gt;0"), 1 / COUNT('regrets 6'!$G39:$K39))</f>
        <v>0.5</v>
      </c>
      <c r="H39" s="60">
        <f>IF(SUMIF('regrets 6'!$G39:$K39, "&gt;0") &gt; 0, MAX('regrets 6'!H39, 0) / SUMIF('regrets 6'!$G39:$K39, "&gt;0"), 1 / COUNT('regrets 6'!$G39:$K39))</f>
        <v>0.5</v>
      </c>
      <c r="I39" s="61"/>
      <c r="J39" s="62"/>
      <c r="K39" s="90"/>
      <c r="L39" s="60">
        <f>IF(SUMIF('regrets 6'!$L39:$P39, "&gt;0") &gt; 0, MAX('regrets 6'!L39, 0) / SUMIF('regrets 6'!$L39:$P39, "&gt;0"), 1 / COUNT('regrets 6'!$L39:$P39))</f>
        <v>0.5</v>
      </c>
      <c r="M39" s="60">
        <f>IF(SUMIF('regrets 6'!$L39:$P39, "&gt;0") &gt; 0, MAX('regrets 6'!M39, 0) / SUMIF('regrets 6'!$L39:$P39, "&gt;0"), 1 / COUNT('regrets 6'!$L39:$P39))</f>
        <v>0.5</v>
      </c>
      <c r="N39" s="62"/>
      <c r="O39" s="62"/>
      <c r="P39" s="81"/>
      <c r="Q39" s="60">
        <f>IF(SUMIF('regrets 6'!$Q39:$U39, "&gt;0") &gt; 0, MAX('regrets 6'!Q39, 0) / SUMIF('regrets 6'!$Q39:$U39, "&gt;0"), 1 / COUNT('regrets 6'!$Q39:$U39))</f>
        <v>0.5</v>
      </c>
      <c r="R39" s="60">
        <f>IF(SUMIF('regrets 6'!$Q39:$U39, "&gt;0") &gt; 0, MAX('regrets 6'!R39, 0) / SUMIF('regrets 6'!$Q39:$U39, "&gt;0"), 1 / COUNT('regrets 6'!$Q39:$U39))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IF(SUMIF('regrets 6'!$B40:$F40, "&gt;0") &gt; 0, MAX('regrets 6'!B40, 0) / SUMIF('regrets 6'!$B40:$F40, "&gt;0"), 1 / COUNT('regrets 6'!$B40:$F40))</f>
        <v>0.5</v>
      </c>
      <c r="C40" s="61">
        <f>IF(SUMIF('regrets 6'!$B40:$F40, "&gt;0") &gt; 0, MAX('regrets 6'!C40, 0) / SUMIF('regrets 6'!$B40:$F40, "&gt;0"), 1 / COUNT('regrets 6'!$B40:$F40))</f>
        <v>0.5</v>
      </c>
      <c r="D40" s="83"/>
      <c r="E40" s="75"/>
      <c r="F40" s="94"/>
      <c r="G40" s="60">
        <f>IF(SUMIF('regrets 6'!$G40:$K40, "&gt;0") &gt; 0, MAX('regrets 6'!G40, 0) / SUMIF('regrets 6'!$G40:$K40, "&gt;0"), 1 / COUNT('regrets 6'!$G40:$K40))</f>
        <v>0.5</v>
      </c>
      <c r="H40" s="60">
        <f>IF(SUMIF('regrets 6'!$G40:$K40, "&gt;0") &gt; 0, MAX('regrets 6'!H40, 0) / SUMIF('regrets 6'!$G40:$K40, "&gt;0"), 1 / COUNT('regrets 6'!$G40:$K40))</f>
        <v>0.5</v>
      </c>
      <c r="I40" s="83"/>
      <c r="J40" s="75"/>
      <c r="K40" s="94"/>
      <c r="L40" s="60">
        <f>IF(SUMIF('regrets 6'!$L40:$P40, "&gt;0") &gt; 0, MAX('regrets 6'!L40, 0) / SUMIF('regrets 6'!$L40:$P40, "&gt;0"), 1 / COUNT('regrets 6'!$L40:$P40))</f>
        <v>0.5</v>
      </c>
      <c r="M40" s="60">
        <f>IF(SUMIF('regrets 6'!$L40:$P40, "&gt;0") &gt; 0, MAX('regrets 6'!M40, 0) / SUMIF('regrets 6'!$L40:$P40, "&gt;0"), 1 / COUNT('regrets 6'!$L40:$P40))</f>
        <v>0.5</v>
      </c>
      <c r="N40" s="75"/>
      <c r="O40" s="75"/>
      <c r="P40" s="84"/>
      <c r="Q40" s="60">
        <f>IF(SUMIF('regrets 6'!$Q40:$U40, "&gt;0") &gt; 0, MAX('regrets 6'!Q40, 0) / SUMIF('regrets 6'!$Q40:$U40, "&gt;0"), 1 / COUNT('regrets 6'!$Q40:$U40))</f>
        <v>0.5</v>
      </c>
      <c r="R40" s="60">
        <f>IF(SUMIF('regrets 6'!$Q40:$U40, "&gt;0") &gt; 0, MAX('regrets 6'!R40, 0) / SUMIF('regrets 6'!$Q40:$U40, "&gt;0"), 1 / COUNT('regrets 6'!$Q40:$U40))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IF(SUMIF('regrets 6'!$B41:$F41, "&gt;0") &gt; 0, MAX('regrets 6'!C41, 0) / SUMIF('regrets 6'!$B41:$F41, "&gt;0"), 1 / COUNT('regrets 6'!$B41:$F41))</f>
        <v>0.33333333333333331</v>
      </c>
      <c r="D41" s="68">
        <f>IF(SUMIF('regrets 6'!$B41:$F41, "&gt;0") &gt; 0, MAX('regrets 6'!D41, 0) / SUMIF('regrets 6'!$B41:$F41, "&gt;0"), 1 / COUNT('regrets 6'!$B41:$F41))</f>
        <v>0.33333333333333331</v>
      </c>
      <c r="E41" s="68">
        <f>IF(SUMIF('regrets 6'!$B41:$F41, "&gt;0") &gt; 0, MAX('regrets 6'!E41, 0) / SUMIF('regrets 6'!$B41:$F41, "&gt;0"), 1 / COUNT('regrets 6'!$B41:$F41))</f>
        <v>0.33333333333333331</v>
      </c>
      <c r="F41" s="86"/>
      <c r="G41" s="87"/>
      <c r="H41" s="68">
        <f>IF(SUMIF('regrets 6'!$G41:$K41, "&gt;0") &gt; 0, MAX('regrets 6'!H41, 0) / SUMIF('regrets 6'!$G41:$K41, "&gt;0"), 1 / COUNT('regrets 6'!$G41:$K41))</f>
        <v>0.33333333333333331</v>
      </c>
      <c r="I41" s="68">
        <f>IF(SUMIF('regrets 6'!$G41:$K41, "&gt;0") &gt; 0, MAX('regrets 6'!I41, 0) / SUMIF('regrets 6'!$G41:$K41, "&gt;0"), 1 / COUNT('regrets 6'!$G41:$K41))</f>
        <v>0.33333333333333331</v>
      </c>
      <c r="J41" s="68">
        <f>IF(SUMIF('regrets 6'!$G41:$K41, "&gt;0") &gt; 0, MAX('regrets 6'!J41, 0) / SUMIF('regrets 6'!$G41:$K41, "&gt;0"), 1 / COUNT('regrets 6'!$G41:$K41))</f>
        <v>0.33333333333333331</v>
      </c>
      <c r="K41" s="86"/>
      <c r="L41" s="87"/>
      <c r="M41" s="68">
        <f>IF(SUMIF('regrets 6'!$L41:$P41, "&gt;0") &gt; 0, MAX('regrets 6'!M41, 0) / SUMIF('regrets 6'!$L41:$P41, "&gt;0"), 1 / COUNT('regrets 6'!$L41:$P41))</f>
        <v>0.33333333333333331</v>
      </c>
      <c r="N41" s="68">
        <f>IF(SUMIF('regrets 6'!$L41:$P41, "&gt;0") &gt; 0, MAX('regrets 6'!N41, 0) / SUMIF('regrets 6'!$L41:$P41, "&gt;0"), 1 / COUNT('regrets 6'!$L41:$P41))</f>
        <v>0.33333333333333331</v>
      </c>
      <c r="O41" s="68">
        <f>IF(SUMIF('regrets 6'!$L41:$P41, "&gt;0") &gt; 0, MAX('regrets 6'!O41, 0) / SUMIF('regrets 6'!$L41:$P41, "&gt;0"), 1 / COUNT('regrets 6'!$L41:$P41))</f>
        <v>0.33333333333333331</v>
      </c>
      <c r="P41" s="86"/>
      <c r="Q41" s="87"/>
      <c r="R41" s="68">
        <f>IF(SUMIF('regrets 6'!$Q41:$U41, "&gt;0") &gt; 0, MAX('regrets 6'!R41, 0) / SUMIF('regrets 6'!$Q41:$U41, "&gt;0"), 1 / COUNT('regrets 6'!$Q41:$U41))</f>
        <v>0.33333333333333331</v>
      </c>
      <c r="S41" s="68">
        <f>IF(SUMIF('regrets 6'!$Q41:$U41, "&gt;0") &gt; 0, MAX('regrets 6'!S41, 0) / SUMIF('regrets 6'!$Q41:$U41, "&gt;0"), 1 / COUNT('regrets 6'!$Q41:$U41))</f>
        <v>0.33333333333333331</v>
      </c>
      <c r="T41" s="68">
        <f>IF(SUMIF('regrets 6'!$Q41:$U41, "&gt;0") &gt; 0, MAX('regrets 6'!T41, 0) / SUMIF('regrets 6'!$Q41:$U41, "&gt;0"), 1 / COUNT('regrets 6'!$Q41:$U41))</f>
        <v>0.33333333333333331</v>
      </c>
      <c r="U41" s="86"/>
    </row>
    <row r="42" spans="1:21" ht="20" customHeight="1" x14ac:dyDescent="0.15">
      <c r="A42" s="12">
        <v>1</v>
      </c>
      <c r="B42" s="61">
        <f>IF(SUMIF('regrets 6'!$B42:$F42, "&gt;0") &gt; 0, MAX('regrets 6'!B42, 0) / SUMIF('regrets 6'!$B42:$F42, "&gt;0"), 1 / COUNT('regrets 6'!$B42:$F42))</f>
        <v>0.5</v>
      </c>
      <c r="C42" s="61">
        <f>IF(SUMIF('regrets 6'!$B42:$F42, "&gt;0") &gt; 0, MAX('regrets 6'!C42, 0) / SUMIF('regrets 6'!$B42:$F42, "&gt;0"), 1 / COUNT('regrets 6'!$B42:$F42))</f>
        <v>0.5</v>
      </c>
      <c r="D42" s="61"/>
      <c r="E42" s="61"/>
      <c r="F42" s="90"/>
      <c r="G42" s="60">
        <f>IF(SUMIF('regrets 6'!$G42:$K42, "&gt;0") &gt; 0, MAX('regrets 6'!G42, 0) / SUMIF('regrets 6'!$G42:$K42, "&gt;0"), 1 / COUNT('regrets 6'!$G42:$K42))</f>
        <v>0.5</v>
      </c>
      <c r="H42" s="60">
        <f>IF(SUMIF('regrets 6'!$G42:$K42, "&gt;0") &gt; 0, MAX('regrets 6'!H42, 0) / SUMIF('regrets 6'!$G42:$K42, "&gt;0"), 1 / COUNT('regrets 6'!$G42:$K42))</f>
        <v>0.5</v>
      </c>
      <c r="I42" s="61"/>
      <c r="J42" s="61"/>
      <c r="K42" s="90"/>
      <c r="L42" s="60">
        <f>IF(SUMIF('regrets 6'!$L42:$P42, "&gt;0") &gt; 0, MAX('regrets 6'!L42, 0) / SUMIF('regrets 6'!$L42:$P42, "&gt;0"), 1 / COUNT('regrets 6'!$L42:$P42))</f>
        <v>0.5</v>
      </c>
      <c r="M42" s="60">
        <f>IF(SUMIF('regrets 6'!$L42:$P42, "&gt;0") &gt; 0, MAX('regrets 6'!M42, 0) / SUMIF('regrets 6'!$L42:$P42, "&gt;0"), 1 / COUNT('regrets 6'!$L42:$P42))</f>
        <v>0.5</v>
      </c>
      <c r="N42" s="61"/>
      <c r="O42" s="61"/>
      <c r="P42" s="90"/>
      <c r="Q42" s="60">
        <f>IF(SUMIF('regrets 6'!$Q42:$U42, "&gt;0") &gt; 0, MAX('regrets 6'!Q42, 0) / SUMIF('regrets 6'!$Q42:$U42, "&gt;0"), 1 / COUNT('regrets 6'!$Q42:$U42))</f>
        <v>0.5</v>
      </c>
      <c r="R42" s="60">
        <f>IF(SUMIF('regrets 6'!$Q42:$U42, "&gt;0") &gt; 0, MAX('regrets 6'!R42, 0) / SUMIF('regrets 6'!$Q42:$U42, "&gt;0"), 1 / COUNT('regrets 6'!$Q42:$U42))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IF(SUMIF('regrets 6'!$B43:$F43, "&gt;0") &gt; 0, MAX('regrets 6'!C43, 0) / SUMIF('regrets 6'!$B43:$F43, "&gt;0"), 1 / COUNT('regrets 6'!$B43:$F43))</f>
        <v>0.33333333333333331</v>
      </c>
      <c r="D43" s="61">
        <f>IF(SUMIF('regrets 6'!$B43:$F43, "&gt;0") &gt; 0, MAX('regrets 6'!D43, 0) / SUMIF('regrets 6'!$B43:$F43, "&gt;0"), 1 / COUNT('regrets 6'!$B43:$F43))</f>
        <v>0.33333333333333331</v>
      </c>
      <c r="E43" s="61">
        <f>IF(SUMIF('regrets 6'!$B43:$F43, "&gt;0") &gt; 0, MAX('regrets 6'!E43, 0) / SUMIF('regrets 6'!$B43:$F43, "&gt;0"), 1 / COUNT('regrets 6'!$B43:$F43))</f>
        <v>0.33333333333333331</v>
      </c>
      <c r="F43" s="90"/>
      <c r="G43" s="60"/>
      <c r="H43" s="60">
        <f>IF(SUMIF('regrets 6'!$G43:$K43, "&gt;0") &gt; 0, MAX('regrets 6'!H43, 0) / SUMIF('regrets 6'!$G43:$K43, "&gt;0"), 1 / COUNT('regrets 6'!$G43:$K43))</f>
        <v>0.33333333333333331</v>
      </c>
      <c r="I43" s="60">
        <f>IF(SUMIF('regrets 6'!$G43:$K43, "&gt;0") &gt; 0, MAX('regrets 6'!I43, 0) / SUMIF('regrets 6'!$G43:$K43, "&gt;0"), 1 / COUNT('regrets 6'!$G43:$K43))</f>
        <v>0.33333333333333331</v>
      </c>
      <c r="J43" s="60">
        <f>IF(SUMIF('regrets 6'!$G43:$K43, "&gt;0") &gt; 0, MAX('regrets 6'!J43, 0) / SUMIF('regrets 6'!$G43:$K43, "&gt;0"), 1 / COUNT('regrets 6'!$G43:$K43))</f>
        <v>0.33333333333333331</v>
      </c>
      <c r="K43" s="90"/>
      <c r="L43" s="60"/>
      <c r="M43" s="60">
        <f>IF(SUMIF('regrets 6'!$L43:$P43, "&gt;0") &gt; 0, MAX('regrets 6'!M43, 0) / SUMIF('regrets 6'!$L43:$P43, "&gt;0"), 1 / COUNT('regrets 6'!$L43:$P43))</f>
        <v>0.33333333333333331</v>
      </c>
      <c r="N43" s="60">
        <f>IF(SUMIF('regrets 6'!$L43:$P43, "&gt;0") &gt; 0, MAX('regrets 6'!N43, 0) / SUMIF('regrets 6'!$L43:$P43, "&gt;0"), 1 / COUNT('regrets 6'!$L43:$P43))</f>
        <v>0.33333333333333331</v>
      </c>
      <c r="O43" s="60">
        <f>IF(SUMIF('regrets 6'!$L43:$P43, "&gt;0") &gt; 0, MAX('regrets 6'!O43, 0) / SUMIF('regrets 6'!$L43:$P43, "&gt;0"), 1 / COUNT('regrets 6'!$L43:$P43))</f>
        <v>0.33333333333333331</v>
      </c>
      <c r="P43" s="90"/>
      <c r="Q43" s="60"/>
      <c r="R43" s="60">
        <f>IF(SUMIF('regrets 6'!$Q43:$U43, "&gt;0") &gt; 0, MAX('regrets 6'!R43, 0) / SUMIF('regrets 6'!$Q43:$U43, "&gt;0"), 1 / COUNT('regrets 6'!$Q43:$U43))</f>
        <v>0.33333333333333331</v>
      </c>
      <c r="S43" s="60">
        <f>IF(SUMIF('regrets 6'!$Q43:$U43, "&gt;0") &gt; 0, MAX('regrets 6'!S43, 0) / SUMIF('regrets 6'!$Q43:$U43, "&gt;0"), 1 / COUNT('regrets 6'!$Q43:$U43))</f>
        <v>0.33333333333333331</v>
      </c>
      <c r="T43" s="60">
        <f>IF(SUMIF('regrets 6'!$Q43:$U43, "&gt;0") &gt; 0, MAX('regrets 6'!T43, 0) / SUMIF('regrets 6'!$Q43:$U43, "&gt;0"), 1 / COUNT('regrets 6'!$Q43:$U43))</f>
        <v>0.33333333333333331</v>
      </c>
      <c r="U43" s="90"/>
    </row>
    <row r="44" spans="1:21" ht="20" customHeight="1" x14ac:dyDescent="0.15">
      <c r="A44" s="12">
        <v>3</v>
      </c>
      <c r="B44" s="61">
        <f>IF(SUMIF('regrets 6'!$B44:$F44, "&gt;0") &gt; 0, MAX('regrets 6'!B44, 0) / SUMIF('regrets 6'!$B44:$F44, "&gt;0"), 1 / COUNT('regrets 6'!$B44:$F44))</f>
        <v>0.5</v>
      </c>
      <c r="C44" s="61">
        <f>IF(SUMIF('regrets 6'!$B44:$F44, "&gt;0") &gt; 0, MAX('regrets 6'!C44, 0) / SUMIF('regrets 6'!$B44:$F44, "&gt;0"), 1 / COUNT('regrets 6'!$B44:$F44))</f>
        <v>0.5</v>
      </c>
      <c r="D44" s="61"/>
      <c r="E44" s="61"/>
      <c r="F44" s="90"/>
      <c r="G44" s="60">
        <f>IF(SUMIF('regrets 6'!$G44:$K44, "&gt;0") &gt; 0, MAX('regrets 6'!G44, 0) / SUMIF('regrets 6'!$G44:$K44, "&gt;0"), 1 / COUNT('regrets 6'!$G44:$K44))</f>
        <v>0.5</v>
      </c>
      <c r="H44" s="60">
        <f>IF(SUMIF('regrets 6'!$G44:$K44, "&gt;0") &gt; 0, MAX('regrets 6'!H44, 0) / SUMIF('regrets 6'!$G44:$K44, "&gt;0"), 1 / COUNT('regrets 6'!$G44:$K44))</f>
        <v>0.5</v>
      </c>
      <c r="I44" s="61"/>
      <c r="J44" s="61"/>
      <c r="K44" s="90"/>
      <c r="L44" s="60">
        <f>IF(SUMIF('regrets 6'!$L44:$P44, "&gt;0") &gt; 0, MAX('regrets 6'!L44, 0) / SUMIF('regrets 6'!$L44:$P44, "&gt;0"), 1 / COUNT('regrets 6'!$L44:$P44))</f>
        <v>0.5</v>
      </c>
      <c r="M44" s="60">
        <f>IF(SUMIF('regrets 6'!$L44:$P44, "&gt;0") &gt; 0, MAX('regrets 6'!M44, 0) / SUMIF('regrets 6'!$L44:$P44, "&gt;0"), 1 / COUNT('regrets 6'!$L44:$P44))</f>
        <v>0.5</v>
      </c>
      <c r="N44" s="61"/>
      <c r="O44" s="61"/>
      <c r="P44" s="90"/>
      <c r="Q44" s="60">
        <f>IF(SUMIF('regrets 6'!$Q44:$U44, "&gt;0") &gt; 0, MAX('regrets 6'!Q44, 0) / SUMIF('regrets 6'!$Q44:$U44, "&gt;0"), 1 / COUNT('regrets 6'!$Q44:$U44))</f>
        <v>0.5</v>
      </c>
      <c r="R44" s="60">
        <f>IF(SUMIF('regrets 6'!$Q44:$U44, "&gt;0") &gt; 0, MAX('regrets 6'!R44, 0) / SUMIF('regrets 6'!$Q44:$U44, "&gt;0"), 1 / COUNT('regrets 6'!$Q44:$U44))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IF(SUMIF('regrets 6'!$B45:$F45, "&gt;0") &gt; 0, MAX('regrets 6'!B45, 0) / SUMIF('regrets 6'!$B45:$F45, "&gt;0"), 1 / COUNT('regrets 6'!$B45:$F45))</f>
        <v>0.33333333333333331</v>
      </c>
      <c r="C45" s="61">
        <f>IF(SUMIF('regrets 6'!$B45:$F45, "&gt;0") &gt; 0, MAX('regrets 6'!C45, 0) / SUMIF('regrets 6'!$B45:$F45, "&gt;0"), 1 / COUNT('regrets 6'!$B45:$F45))</f>
        <v>0.33333333333333331</v>
      </c>
      <c r="D45" s="61">
        <f>IF(SUMIF('regrets 6'!$B45:$F45, "&gt;0") &gt; 0, MAX('regrets 6'!D45, 0) / SUMIF('regrets 6'!$B45:$F45, "&gt;0"), 1 / COUNT('regrets 6'!$B45:$F45))</f>
        <v>0.33333333333333331</v>
      </c>
      <c r="E45" s="61"/>
      <c r="F45" s="90"/>
      <c r="G45" s="60">
        <f>IF(SUMIF('regrets 6'!$G45:$K45, "&gt;0") &gt; 0, MAX('regrets 6'!G45, 0) / SUMIF('regrets 6'!$G45:$K45, "&gt;0"), 1 / COUNT('regrets 6'!$G45:$K45))</f>
        <v>0.33333333333333331</v>
      </c>
      <c r="H45" s="60">
        <f>IF(SUMIF('regrets 6'!$G45:$K45, "&gt;0") &gt; 0, MAX('regrets 6'!H45, 0) / SUMIF('regrets 6'!$G45:$K45, "&gt;0"), 1 / COUNT('regrets 6'!$G45:$K45))</f>
        <v>0.33333333333333331</v>
      </c>
      <c r="I45" s="60">
        <f>IF(SUMIF('regrets 6'!$G45:$K45, "&gt;0") &gt; 0, MAX('regrets 6'!I45, 0) / SUMIF('regrets 6'!$G45:$K45, "&gt;0"), 1 / COUNT('regrets 6'!$G45:$K45))</f>
        <v>0.33333333333333331</v>
      </c>
      <c r="J45" s="61"/>
      <c r="K45" s="90"/>
      <c r="L45" s="60">
        <f>IF(SUMIF('regrets 6'!$L45:$P45, "&gt;0") &gt; 0, MAX('regrets 6'!L45, 0) / SUMIF('regrets 6'!$L45:$P45, "&gt;0"), 1 / COUNT('regrets 6'!$L45:$P45))</f>
        <v>0.33333333333333331</v>
      </c>
      <c r="M45" s="60">
        <f>IF(SUMIF('regrets 6'!$L45:$P45, "&gt;0") &gt; 0, MAX('regrets 6'!M45, 0) / SUMIF('regrets 6'!$L45:$P45, "&gt;0"), 1 / COUNT('regrets 6'!$L45:$P45))</f>
        <v>0.33333333333333331</v>
      </c>
      <c r="N45" s="60">
        <f>IF(SUMIF('regrets 6'!$L45:$P45, "&gt;0") &gt; 0, MAX('regrets 6'!N45, 0) / SUMIF('regrets 6'!$L45:$P45, "&gt;0"), 1 / COUNT('regrets 6'!$L45:$P45))</f>
        <v>0.33333333333333331</v>
      </c>
      <c r="O45" s="61"/>
      <c r="P45" s="90"/>
      <c r="Q45" s="60">
        <f>IF(SUMIF('regrets 6'!$Q45:$U45, "&gt;0") &gt; 0, MAX('regrets 6'!Q45, 0) / SUMIF('regrets 6'!$Q45:$U45, "&gt;0"), 1 / COUNT('regrets 6'!$Q45:$U45))</f>
        <v>0.33333333333333331</v>
      </c>
      <c r="R45" s="60">
        <f>IF(SUMIF('regrets 6'!$Q45:$U45, "&gt;0") &gt; 0, MAX('regrets 6'!R45, 0) / SUMIF('regrets 6'!$Q45:$U45, "&gt;0"), 1 / COUNT('regrets 6'!$Q45:$U45))</f>
        <v>0.33333333333333331</v>
      </c>
      <c r="S45" s="60">
        <f>IF(SUMIF('regrets 6'!$Q45:$U45, "&gt;0") &gt; 0, MAX('regrets 6'!S45, 0) / SUMIF('regrets 6'!$Q45:$U45, "&gt;0"), 1 / COUNT('regrets 6'!$Q45:$U45))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IF(SUMIF('regrets 6'!$B46:$F46, "&gt;0") &gt; 0, MAX('regrets 6'!B46, 0) / SUMIF('regrets 6'!$B46:$F46, "&gt;0"), 1 / COUNT('regrets 6'!$B46:$F46))</f>
        <v>0.5</v>
      </c>
      <c r="C46" s="61">
        <f>IF(SUMIF('regrets 6'!$B46:$F46, "&gt;0") &gt; 0, MAX('regrets 6'!C46, 0) / SUMIF('regrets 6'!$B46:$F46, "&gt;0"), 1 / COUNT('regrets 6'!$B46:$F46))</f>
        <v>0.5</v>
      </c>
      <c r="D46" s="61"/>
      <c r="E46" s="61"/>
      <c r="F46" s="90"/>
      <c r="G46" s="60">
        <f>IF(SUMIF('regrets 6'!$G46:$K46, "&gt;0") &gt; 0, MAX('regrets 6'!G46, 0) / SUMIF('regrets 6'!$G46:$K46, "&gt;0"), 1 / COUNT('regrets 6'!$G46:$K46))</f>
        <v>0.5</v>
      </c>
      <c r="H46" s="60">
        <f>IF(SUMIF('regrets 6'!$G46:$K46, "&gt;0") &gt; 0, MAX('regrets 6'!H46, 0) / SUMIF('regrets 6'!$G46:$K46, "&gt;0"), 1 / COUNT('regrets 6'!$G46:$K46))</f>
        <v>0.5</v>
      </c>
      <c r="I46" s="61"/>
      <c r="J46" s="61"/>
      <c r="K46" s="90"/>
      <c r="L46" s="60">
        <f>IF(SUMIF('regrets 6'!$L46:$P46, "&gt;0") &gt; 0, MAX('regrets 6'!L46, 0) / SUMIF('regrets 6'!$L46:$P46, "&gt;0"), 1 / COUNT('regrets 6'!$L46:$P46))</f>
        <v>0.5</v>
      </c>
      <c r="M46" s="60">
        <f>IF(SUMIF('regrets 6'!$L46:$P46, "&gt;0") &gt; 0, MAX('regrets 6'!M46, 0) / SUMIF('regrets 6'!$L46:$P46, "&gt;0"), 1 / COUNT('regrets 6'!$L46:$P46))</f>
        <v>0.5</v>
      </c>
      <c r="N46" s="61"/>
      <c r="O46" s="61"/>
      <c r="P46" s="90"/>
      <c r="Q46" s="60">
        <f>IF(SUMIF('regrets 6'!$Q46:$U46, "&gt;0") &gt; 0, MAX('regrets 6'!Q46, 0) / SUMIF('regrets 6'!$Q46:$U46, "&gt;0"), 1 / COUNT('regrets 6'!$Q46:$U46))</f>
        <v>0.5</v>
      </c>
      <c r="R46" s="60">
        <f>IF(SUMIF('regrets 6'!$Q46:$U46, "&gt;0") &gt; 0, MAX('regrets 6'!R46, 0) / SUMIF('regrets 6'!$Q46:$U46, "&gt;0"), 1 / COUNT('regrets 6'!$Q46:$U46))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IF(SUMIF('regrets 6'!$B47:$F47, "&gt;0") &gt; 0, MAX('regrets 6'!B47, 0) / SUMIF('regrets 6'!$B47:$F47, "&gt;0"), 1 / COUNT('regrets 6'!$B47:$F47))</f>
        <v>0.33333333333333331</v>
      </c>
      <c r="C47" s="61">
        <f>IF(SUMIF('regrets 6'!$B47:$F47, "&gt;0") &gt; 0, MAX('regrets 6'!C47, 0) / SUMIF('regrets 6'!$B47:$F47, "&gt;0"), 1 / COUNT('regrets 6'!$B47:$F47))</f>
        <v>0.33333333333333331</v>
      </c>
      <c r="D47" s="61">
        <f>IF(SUMIF('regrets 6'!$B47:$F47, "&gt;0") &gt; 0, MAX('regrets 6'!D47, 0) / SUMIF('regrets 6'!$B47:$F47, "&gt;0"), 1 / COUNT('regrets 6'!$B47:$F47))</f>
        <v>0.33333333333333331</v>
      </c>
      <c r="E47" s="61"/>
      <c r="F47" s="90"/>
      <c r="G47" s="60">
        <f>IF(SUMIF('regrets 6'!$G47:$K47, "&gt;0") &gt; 0, MAX('regrets 6'!G47, 0) / SUMIF('regrets 6'!$G47:$K47, "&gt;0"), 1 / COUNT('regrets 6'!$G47:$K47))</f>
        <v>0.33333333333333331</v>
      </c>
      <c r="H47" s="60">
        <f>IF(SUMIF('regrets 6'!$G47:$K47, "&gt;0") &gt; 0, MAX('regrets 6'!H47, 0) / SUMIF('regrets 6'!$G47:$K47, "&gt;0"), 1 / COUNT('regrets 6'!$G47:$K47))</f>
        <v>0.33333333333333331</v>
      </c>
      <c r="I47" s="60">
        <f>IF(SUMIF('regrets 6'!$G47:$K47, "&gt;0") &gt; 0, MAX('regrets 6'!I47, 0) / SUMIF('regrets 6'!$G47:$K47, "&gt;0"), 1 / COUNT('regrets 6'!$G47:$K47))</f>
        <v>0.33333333333333331</v>
      </c>
      <c r="J47" s="61"/>
      <c r="K47" s="90"/>
      <c r="L47" s="60">
        <f>IF(SUMIF('regrets 6'!$L47:$P47, "&gt;0") &gt; 0, MAX('regrets 6'!L47, 0) / SUMIF('regrets 6'!$L47:$P47, "&gt;0"), 1 / COUNT('regrets 6'!$L47:$P47))</f>
        <v>0.33333333333333331</v>
      </c>
      <c r="M47" s="60">
        <f>IF(SUMIF('regrets 6'!$L47:$P47, "&gt;0") &gt; 0, MAX('regrets 6'!M47, 0) / SUMIF('regrets 6'!$L47:$P47, "&gt;0"), 1 / COUNT('regrets 6'!$L47:$P47))</f>
        <v>0.33333333333333331</v>
      </c>
      <c r="N47" s="60">
        <f>IF(SUMIF('regrets 6'!$L47:$P47, "&gt;0") &gt; 0, MAX('regrets 6'!N47, 0) / SUMIF('regrets 6'!$L47:$P47, "&gt;0"), 1 / COUNT('regrets 6'!$L47:$P47))</f>
        <v>0.33333333333333331</v>
      </c>
      <c r="O47" s="61"/>
      <c r="P47" s="90"/>
      <c r="Q47" s="60">
        <f>IF(SUMIF('regrets 6'!$Q47:$U47, "&gt;0") &gt; 0, MAX('regrets 6'!Q47, 0) / SUMIF('regrets 6'!$Q47:$U47, "&gt;0"), 1 / COUNT('regrets 6'!$Q47:$U47))</f>
        <v>0.33333333333333331</v>
      </c>
      <c r="R47" s="60">
        <f>IF(SUMIF('regrets 6'!$Q47:$U47, "&gt;0") &gt; 0, MAX('regrets 6'!R47, 0) / SUMIF('regrets 6'!$Q47:$U47, "&gt;0"), 1 / COUNT('regrets 6'!$Q47:$U47))</f>
        <v>0.33333333333333331</v>
      </c>
      <c r="S47" s="60">
        <f>IF(SUMIF('regrets 6'!$Q47:$U47, "&gt;0") &gt; 0, MAX('regrets 6'!S47, 0) / SUMIF('regrets 6'!$Q47:$U47, "&gt;0"), 1 / COUNT('regrets 6'!$Q47:$U47))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IF(SUMIF('regrets 6'!$B48:$F48, "&gt;0") &gt; 0, MAX('regrets 6'!B48, 0) / SUMIF('regrets 6'!$B48:$F48, "&gt;0"), 1 / COUNT('regrets 6'!$B48:$F48))</f>
        <v>0.5</v>
      </c>
      <c r="C48" s="61">
        <f>IF(SUMIF('regrets 6'!$B48:$F48, "&gt;0") &gt; 0, MAX('regrets 6'!C48, 0) / SUMIF('regrets 6'!$B48:$F48, "&gt;0"), 1 / COUNT('regrets 6'!$B48:$F48))</f>
        <v>0.5</v>
      </c>
      <c r="D48" s="61"/>
      <c r="E48" s="61"/>
      <c r="F48" s="90"/>
      <c r="G48" s="60">
        <f>IF(SUMIF('regrets 6'!$G48:$K48, "&gt;0") &gt; 0, MAX('regrets 6'!G48, 0) / SUMIF('regrets 6'!$G48:$K48, "&gt;0"), 1 / COUNT('regrets 6'!$G48:$K48))</f>
        <v>0.5</v>
      </c>
      <c r="H48" s="60">
        <f>IF(SUMIF('regrets 6'!$G48:$K48, "&gt;0") &gt; 0, MAX('regrets 6'!H48, 0) / SUMIF('regrets 6'!$G48:$K48, "&gt;0"), 1 / COUNT('regrets 6'!$G48:$K48))</f>
        <v>0.5</v>
      </c>
      <c r="I48" s="61"/>
      <c r="J48" s="61"/>
      <c r="K48" s="90"/>
      <c r="L48" s="60">
        <f>IF(SUMIF('regrets 6'!$L48:$P48, "&gt;0") &gt; 0, MAX('regrets 6'!L48, 0) / SUMIF('regrets 6'!$L48:$P48, "&gt;0"), 1 / COUNT('regrets 6'!$L48:$P48))</f>
        <v>0.5</v>
      </c>
      <c r="M48" s="60">
        <f>IF(SUMIF('regrets 6'!$L48:$P48, "&gt;0") &gt; 0, MAX('regrets 6'!M48, 0) / SUMIF('regrets 6'!$L48:$P48, "&gt;0"), 1 / COUNT('regrets 6'!$L48:$P48))</f>
        <v>0.5</v>
      </c>
      <c r="N48" s="61"/>
      <c r="O48" s="61"/>
      <c r="P48" s="90"/>
      <c r="Q48" s="60">
        <f>IF(SUMIF('regrets 6'!$Q48:$U48, "&gt;0") &gt; 0, MAX('regrets 6'!Q48, 0) / SUMIF('regrets 6'!$Q48:$U48, "&gt;0"), 1 / COUNT('regrets 6'!$Q48:$U48))</f>
        <v>0.5</v>
      </c>
      <c r="R48" s="60">
        <f>IF(SUMIF('regrets 6'!$Q48:$U48, "&gt;0") &gt; 0, MAX('regrets 6'!R48, 0) / SUMIF('regrets 6'!$Q48:$U48, "&gt;0"), 1 / COUNT('regrets 6'!$Q48:$U48))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IF(SUMIF('regrets 6'!$B49:$F49, "&gt;0") &gt; 0, MAX('regrets 6'!C49, 0) / SUMIF('regrets 6'!$B49:$F49, "&gt;0"), 1 / COUNT('regrets 6'!$B49:$F49))</f>
        <v>0.33333333333333331</v>
      </c>
      <c r="D49" s="61">
        <f>IF(SUMIF('regrets 6'!$B49:$F49, "&gt;0") &gt; 0, MAX('regrets 6'!D49, 0) / SUMIF('regrets 6'!$B49:$F49, "&gt;0"), 1 / COUNT('regrets 6'!$B49:$F49))</f>
        <v>0.33333333333333331</v>
      </c>
      <c r="E49" s="61">
        <f>IF(SUMIF('regrets 6'!$B49:$F49, "&gt;0") &gt; 0, MAX('regrets 6'!E49, 0) / SUMIF('regrets 6'!$B49:$F49, "&gt;0"), 1 / COUNT('regrets 6'!$B49:$F49))</f>
        <v>0.33333333333333331</v>
      </c>
      <c r="F49" s="90"/>
      <c r="G49" s="60"/>
      <c r="H49" s="60">
        <f>IF(SUMIF('regrets 6'!$G49:$K49, "&gt;0") &gt; 0, MAX('regrets 6'!H49, 0) / SUMIF('regrets 6'!$G49:$K49, "&gt;0"), 1 / COUNT('regrets 6'!$G49:$K49))</f>
        <v>0</v>
      </c>
      <c r="I49" s="60">
        <f>IF(SUMIF('regrets 6'!$G49:$K49, "&gt;0") &gt; 0, MAX('regrets 6'!I49, 0) / SUMIF('regrets 6'!$G49:$K49, "&gt;0"), 1 / COUNT('regrets 6'!$G49:$K49))</f>
        <v>0.53886815920398012</v>
      </c>
      <c r="J49" s="60">
        <f>IF(SUMIF('regrets 6'!$G49:$K49, "&gt;0") &gt; 0, MAX('regrets 6'!J49, 0) / SUMIF('regrets 6'!$G49:$K49, "&gt;0"), 1 / COUNT('regrets 6'!$G49:$K49))</f>
        <v>0.46113184079601988</v>
      </c>
      <c r="K49" s="90"/>
      <c r="L49" s="60"/>
      <c r="M49" s="60">
        <f>IF(SUMIF('regrets 6'!$L49:$P49, "&gt;0") &gt; 0, MAX('regrets 6'!M49, 0) / SUMIF('regrets 6'!$L49:$P49, "&gt;0"), 1 / COUNT('regrets 6'!$L49:$P49))</f>
        <v>0.33333333333333331</v>
      </c>
      <c r="N49" s="60">
        <f>IF(SUMIF('regrets 6'!$L49:$P49, "&gt;0") &gt; 0, MAX('regrets 6'!N49, 0) / SUMIF('regrets 6'!$L49:$P49, "&gt;0"), 1 / COUNT('regrets 6'!$L49:$P49))</f>
        <v>0.33333333333333331</v>
      </c>
      <c r="O49" s="60">
        <f>IF(SUMIF('regrets 6'!$L49:$P49, "&gt;0") &gt; 0, MAX('regrets 6'!O49, 0) / SUMIF('regrets 6'!$L49:$P49, "&gt;0"), 1 / COUNT('regrets 6'!$L49:$P49))</f>
        <v>0.33333333333333331</v>
      </c>
      <c r="P49" s="90"/>
      <c r="Q49" s="60"/>
      <c r="R49" s="60">
        <f>IF(SUMIF('regrets 6'!$Q49:$U49, "&gt;0") &gt; 0, MAX('regrets 6'!R49, 0) / SUMIF('regrets 6'!$Q49:$U49, "&gt;0"), 1 / COUNT('regrets 6'!$Q49:$U49))</f>
        <v>0.33333333333333331</v>
      </c>
      <c r="S49" s="60">
        <f>IF(SUMIF('regrets 6'!$Q49:$U49, "&gt;0") &gt; 0, MAX('regrets 6'!S49, 0) / SUMIF('regrets 6'!$Q49:$U49, "&gt;0"), 1 / COUNT('regrets 6'!$Q49:$U49))</f>
        <v>0.33333333333333331</v>
      </c>
      <c r="T49" s="60">
        <f>IF(SUMIF('regrets 6'!$Q49:$U49, "&gt;0") &gt; 0, MAX('regrets 6'!T49, 0) / SUMIF('regrets 6'!$Q49:$U49, "&gt;0"), 1 / COUNT('regrets 6'!$Q49:$U49))</f>
        <v>0.33333333333333331</v>
      </c>
      <c r="U49" s="90"/>
    </row>
    <row r="50" spans="1:21" ht="20" customHeight="1" x14ac:dyDescent="0.15">
      <c r="A50" s="12">
        <v>9</v>
      </c>
      <c r="B50" s="61">
        <f>IF(SUMIF('regrets 6'!$B50:$F50, "&gt;0") &gt; 0, MAX('regrets 6'!B50, 0) / SUMIF('regrets 6'!$B50:$F50, "&gt;0"), 1 / COUNT('regrets 6'!$B50:$F50))</f>
        <v>0.5</v>
      </c>
      <c r="C50" s="61">
        <f>IF(SUMIF('regrets 6'!$B50:$F50, "&gt;0") &gt; 0, MAX('regrets 6'!C50, 0) / SUMIF('regrets 6'!$B50:$F50, "&gt;0"), 1 / COUNT('regrets 6'!$B50:$F50))</f>
        <v>0.5</v>
      </c>
      <c r="D50" s="61"/>
      <c r="E50" s="61"/>
      <c r="F50" s="90"/>
      <c r="G50" s="60">
        <f>IF(SUMIF('regrets 6'!$G50:$K50, "&gt;0") &gt; 0, MAX('regrets 6'!G50, 0) / SUMIF('regrets 6'!$G50:$K50, "&gt;0"), 1 / COUNT('regrets 6'!$G50:$K50))</f>
        <v>0.5</v>
      </c>
      <c r="H50" s="60">
        <f>IF(SUMIF('regrets 6'!$G50:$K50, "&gt;0") &gt; 0, MAX('regrets 6'!H50, 0) / SUMIF('regrets 6'!$G50:$K50, "&gt;0"), 1 / COUNT('regrets 6'!$G50:$K50))</f>
        <v>0.5</v>
      </c>
      <c r="I50" s="61"/>
      <c r="J50" s="61"/>
      <c r="K50" s="90"/>
      <c r="L50" s="60">
        <f>IF(SUMIF('regrets 6'!$L50:$P50, "&gt;0") &gt; 0, MAX('regrets 6'!L50, 0) / SUMIF('regrets 6'!$L50:$P50, "&gt;0"), 1 / COUNT('regrets 6'!$L50:$P50))</f>
        <v>0.5</v>
      </c>
      <c r="M50" s="60">
        <f>IF(SUMIF('regrets 6'!$L50:$P50, "&gt;0") &gt; 0, MAX('regrets 6'!M50, 0) / SUMIF('regrets 6'!$L50:$P50, "&gt;0"), 1 / COUNT('regrets 6'!$L50:$P50))</f>
        <v>0.5</v>
      </c>
      <c r="N50" s="61"/>
      <c r="O50" s="61"/>
      <c r="P50" s="90"/>
      <c r="Q50" s="60">
        <f>IF(SUMIF('regrets 6'!$Q50:$U50, "&gt;0") &gt; 0, MAX('regrets 6'!Q50, 0) / SUMIF('regrets 6'!$Q50:$U50, "&gt;0"), 1 / COUNT('regrets 6'!$Q50:$U50))</f>
        <v>0.5</v>
      </c>
      <c r="R50" s="60">
        <f>IF(SUMIF('regrets 6'!$Q50:$U50, "&gt;0") &gt; 0, MAX('regrets 6'!R50, 0) / SUMIF('regrets 6'!$Q50:$U50, "&gt;0"), 1 / COUNT('regrets 6'!$Q50:$U50))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IF(SUMIF('regrets 6'!$B51:$F51, "&gt;0") &gt; 0, MAX('regrets 6'!C51, 0) / SUMIF('regrets 6'!$B51:$F51, "&gt;0"), 1 / COUNT('regrets 6'!$B51:$F51))</f>
        <v>0.33333333333333331</v>
      </c>
      <c r="D51" s="61">
        <f>IF(SUMIF('regrets 6'!$B51:$F51, "&gt;0") &gt; 0, MAX('regrets 6'!D51, 0) / SUMIF('regrets 6'!$B51:$F51, "&gt;0"), 1 / COUNT('regrets 6'!$B51:$F51))</f>
        <v>0.33333333333333331</v>
      </c>
      <c r="E51" s="61">
        <f>IF(SUMIF('regrets 6'!$B51:$F51, "&gt;0") &gt; 0, MAX('regrets 6'!E51, 0) / SUMIF('regrets 6'!$B51:$F51, "&gt;0"), 1 / COUNT('regrets 6'!$B51:$F51))</f>
        <v>0.33333333333333331</v>
      </c>
      <c r="F51" s="90"/>
      <c r="G51" s="60"/>
      <c r="H51" s="60">
        <f>IF(SUMIF('regrets 6'!$G51:$K51, "&gt;0") &gt; 0, MAX('regrets 6'!H51, 0) / SUMIF('regrets 6'!$G51:$K51, "&gt;0"), 1 / COUNT('regrets 6'!$G51:$K51))</f>
        <v>0.33333333333333331</v>
      </c>
      <c r="I51" s="60">
        <f>IF(SUMIF('regrets 6'!$G51:$K51, "&gt;0") &gt; 0, MAX('regrets 6'!I51, 0) / SUMIF('regrets 6'!$G51:$K51, "&gt;0"), 1 / COUNT('regrets 6'!$G51:$K51))</f>
        <v>0.33333333333333331</v>
      </c>
      <c r="J51" s="60">
        <f>IF(SUMIF('regrets 6'!$G51:$K51, "&gt;0") &gt; 0, MAX('regrets 6'!J51, 0) / SUMIF('regrets 6'!$G51:$K51, "&gt;0"), 1 / COUNT('regrets 6'!$G51:$K51))</f>
        <v>0.33333333333333331</v>
      </c>
      <c r="K51" s="90"/>
      <c r="L51" s="60"/>
      <c r="M51" s="60">
        <f>IF(SUMIF('regrets 6'!$L51:$P51, "&gt;0") &gt; 0, MAX('regrets 6'!M51, 0) / SUMIF('regrets 6'!$L51:$P51, "&gt;0"), 1 / COUNT('regrets 6'!$L51:$P51))</f>
        <v>0.33333333333333331</v>
      </c>
      <c r="N51" s="60">
        <f>IF(SUMIF('regrets 6'!$L51:$P51, "&gt;0") &gt; 0, MAX('regrets 6'!N51, 0) / SUMIF('regrets 6'!$L51:$P51, "&gt;0"), 1 / COUNT('regrets 6'!$L51:$P51))</f>
        <v>0.33333333333333331</v>
      </c>
      <c r="O51" s="60">
        <f>IF(SUMIF('regrets 6'!$L51:$P51, "&gt;0") &gt; 0, MAX('regrets 6'!O51, 0) / SUMIF('regrets 6'!$L51:$P51, "&gt;0"), 1 / COUNT('regrets 6'!$L51:$P51))</f>
        <v>0.33333333333333331</v>
      </c>
      <c r="P51" s="90"/>
      <c r="Q51" s="60"/>
      <c r="R51" s="60">
        <f>IF(SUMIF('regrets 6'!$Q51:$U51, "&gt;0") &gt; 0, MAX('regrets 6'!R51, 0) / SUMIF('regrets 6'!$Q51:$U51, "&gt;0"), 1 / COUNT('regrets 6'!$Q51:$U51))</f>
        <v>0.33333333333333331</v>
      </c>
      <c r="S51" s="60">
        <f>IF(SUMIF('regrets 6'!$Q51:$U51, "&gt;0") &gt; 0, MAX('regrets 6'!S51, 0) / SUMIF('regrets 6'!$Q51:$U51, "&gt;0"), 1 / COUNT('regrets 6'!$Q51:$U51))</f>
        <v>0.33333333333333331</v>
      </c>
      <c r="T51" s="60">
        <f>IF(SUMIF('regrets 6'!$Q51:$U51, "&gt;0") &gt; 0, MAX('regrets 6'!T51, 0) / SUMIF('regrets 6'!$Q51:$U51, "&gt;0"), 1 / COUNT('regrets 6'!$Q51:$U51))</f>
        <v>0.33333333333333331</v>
      </c>
      <c r="U51" s="90"/>
    </row>
    <row r="52" spans="1:21" ht="20" customHeight="1" x14ac:dyDescent="0.15">
      <c r="A52" s="12">
        <v>11</v>
      </c>
      <c r="B52" s="61">
        <f>IF(SUMIF('regrets 6'!$B52:$F52, "&gt;0") &gt; 0, MAX('regrets 6'!B52, 0) / SUMIF('regrets 6'!$B52:$F52, "&gt;0"), 1 / COUNT('regrets 6'!$B52:$F52))</f>
        <v>0.5</v>
      </c>
      <c r="C52" s="61">
        <f>IF(SUMIF('regrets 6'!$B52:$F52, "&gt;0") &gt; 0, MAX('regrets 6'!C52, 0) / SUMIF('regrets 6'!$B52:$F52, "&gt;0"), 1 / COUNT('regrets 6'!$B52:$F52))</f>
        <v>0.5</v>
      </c>
      <c r="D52" s="61"/>
      <c r="E52" s="61"/>
      <c r="F52" s="90"/>
      <c r="G52" s="60">
        <f>IF(SUMIF('regrets 6'!$G52:$K52, "&gt;0") &gt; 0, MAX('regrets 6'!G52, 0) / SUMIF('regrets 6'!$G52:$K52, "&gt;0"), 1 / COUNT('regrets 6'!$G52:$K52))</f>
        <v>0.5</v>
      </c>
      <c r="H52" s="60">
        <f>IF(SUMIF('regrets 6'!$G52:$K52, "&gt;0") &gt; 0, MAX('regrets 6'!H52, 0) / SUMIF('regrets 6'!$G52:$K52, "&gt;0"), 1 / COUNT('regrets 6'!$G52:$K52))</f>
        <v>0.5</v>
      </c>
      <c r="I52" s="61"/>
      <c r="J52" s="61"/>
      <c r="K52" s="90"/>
      <c r="L52" s="60">
        <f>IF(SUMIF('regrets 6'!$L52:$P52, "&gt;0") &gt; 0, MAX('regrets 6'!L52, 0) / SUMIF('regrets 6'!$L52:$P52, "&gt;0"), 1 / COUNT('regrets 6'!$L52:$P52))</f>
        <v>0.5</v>
      </c>
      <c r="M52" s="60">
        <f>IF(SUMIF('regrets 6'!$L52:$P52, "&gt;0") &gt; 0, MAX('regrets 6'!M52, 0) / SUMIF('regrets 6'!$L52:$P52, "&gt;0"), 1 / COUNT('regrets 6'!$L52:$P52))</f>
        <v>0.5</v>
      </c>
      <c r="N52" s="61"/>
      <c r="O52" s="61"/>
      <c r="P52" s="90"/>
      <c r="Q52" s="60">
        <f>IF(SUMIF('regrets 6'!$Q52:$U52, "&gt;0") &gt; 0, MAX('regrets 6'!Q52, 0) / SUMIF('regrets 6'!$Q52:$U52, "&gt;0"), 1 / COUNT('regrets 6'!$Q52:$U52))</f>
        <v>0.5</v>
      </c>
      <c r="R52" s="60">
        <f>IF(SUMIF('regrets 6'!$Q52:$U52, "&gt;0") &gt; 0, MAX('regrets 6'!R52, 0) / SUMIF('regrets 6'!$Q52:$U52, "&gt;0"), 1 / COUNT('regrets 6'!$Q52:$U52))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IF(SUMIF('regrets 6'!$B53:$F53, "&gt;0") &gt; 0, MAX('regrets 6'!B53, 0) / SUMIF('regrets 6'!$B53:$F53, "&gt;0"), 1 / COUNT('regrets 6'!$B53:$F53))</f>
        <v>0.33333333333333331</v>
      </c>
      <c r="C53" s="61">
        <f>IF(SUMIF('regrets 6'!$B53:$F53, "&gt;0") &gt; 0, MAX('regrets 6'!C53, 0) / SUMIF('regrets 6'!$B53:$F53, "&gt;0"), 1 / COUNT('regrets 6'!$B53:$F53))</f>
        <v>0.33333333333333331</v>
      </c>
      <c r="D53" s="61">
        <f>IF(SUMIF('regrets 6'!$B53:$F53, "&gt;0") &gt; 0, MAX('regrets 6'!D53, 0) / SUMIF('regrets 6'!$B53:$F53, "&gt;0"), 1 / COUNT('regrets 6'!$B53:$F53))</f>
        <v>0.33333333333333331</v>
      </c>
      <c r="E53" s="61"/>
      <c r="F53" s="90"/>
      <c r="G53" s="60">
        <f>IF(SUMIF('regrets 6'!$G53:$K53, "&gt;0") &gt; 0, MAX('regrets 6'!G53, 0) / SUMIF('regrets 6'!$G53:$K53, "&gt;0"), 1 / COUNT('regrets 6'!$G53:$K53))</f>
        <v>0.33333333333333331</v>
      </c>
      <c r="H53" s="60">
        <f>IF(SUMIF('regrets 6'!$G53:$K53, "&gt;0") &gt; 0, MAX('regrets 6'!H53, 0) / SUMIF('regrets 6'!$G53:$K53, "&gt;0"), 1 / COUNT('regrets 6'!$G53:$K53))</f>
        <v>0.33333333333333331</v>
      </c>
      <c r="I53" s="60">
        <f>IF(SUMIF('regrets 6'!$G53:$K53, "&gt;0") &gt; 0, MAX('regrets 6'!I53, 0) / SUMIF('regrets 6'!$G53:$K53, "&gt;0"), 1 / COUNT('regrets 6'!$G53:$K53))</f>
        <v>0.33333333333333331</v>
      </c>
      <c r="J53" s="61"/>
      <c r="K53" s="90"/>
      <c r="L53" s="60">
        <f>IF(SUMIF('regrets 6'!$L53:$P53, "&gt;0") &gt; 0, MAX('regrets 6'!L53, 0) / SUMIF('regrets 6'!$L53:$P53, "&gt;0"), 1 / COUNT('regrets 6'!$L53:$P53))</f>
        <v>0.33333333333333331</v>
      </c>
      <c r="M53" s="60">
        <f>IF(SUMIF('regrets 6'!$L53:$P53, "&gt;0") &gt; 0, MAX('regrets 6'!M53, 0) / SUMIF('regrets 6'!$L53:$P53, "&gt;0"), 1 / COUNT('regrets 6'!$L53:$P53))</f>
        <v>0.33333333333333331</v>
      </c>
      <c r="N53" s="60">
        <f>IF(SUMIF('regrets 6'!$L53:$P53, "&gt;0") &gt; 0, MAX('regrets 6'!N53, 0) / SUMIF('regrets 6'!$L53:$P53, "&gt;0"), 1 / COUNT('regrets 6'!$L53:$P53))</f>
        <v>0.33333333333333331</v>
      </c>
      <c r="O53" s="61"/>
      <c r="P53" s="90"/>
      <c r="Q53" s="60">
        <f>IF(SUMIF('regrets 6'!$Q53:$U53, "&gt;0") &gt; 0, MAX('regrets 6'!Q53, 0) / SUMIF('regrets 6'!$Q53:$U53, "&gt;0"), 1 / COUNT('regrets 6'!$Q53:$U53))</f>
        <v>0.33333333333333331</v>
      </c>
      <c r="R53" s="60">
        <f>IF(SUMIF('regrets 6'!$Q53:$U53, "&gt;0") &gt; 0, MAX('regrets 6'!R53, 0) / SUMIF('regrets 6'!$Q53:$U53, "&gt;0"), 1 / COUNT('regrets 6'!$Q53:$U53))</f>
        <v>0.33333333333333331</v>
      </c>
      <c r="S53" s="60">
        <f>IF(SUMIF('regrets 6'!$Q53:$U53, "&gt;0") &gt; 0, MAX('regrets 6'!S53, 0) / SUMIF('regrets 6'!$Q53:$U53, "&gt;0"), 1 / COUNT('regrets 6'!$Q53:$U53))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IF(SUMIF('regrets 6'!$B54:$F54, "&gt;0") &gt; 0, MAX('regrets 6'!B54, 0) / SUMIF('regrets 6'!$B54:$F54, "&gt;0"), 1 / COUNT('regrets 6'!$B54:$F54))</f>
        <v>0.5</v>
      </c>
      <c r="C54" s="61">
        <f>IF(SUMIF('regrets 6'!$B54:$F54, "&gt;0") &gt; 0, MAX('regrets 6'!C54, 0) / SUMIF('regrets 6'!$B54:$F54, "&gt;0"), 1 / COUNT('regrets 6'!$B54:$F54))</f>
        <v>0.5</v>
      </c>
      <c r="D54" s="61"/>
      <c r="E54" s="61"/>
      <c r="F54" s="90"/>
      <c r="G54" s="60">
        <f>IF(SUMIF('regrets 6'!$G54:$K54, "&gt;0") &gt; 0, MAX('regrets 6'!G54, 0) / SUMIF('regrets 6'!$G54:$K54, "&gt;0"), 1 / COUNT('regrets 6'!$G54:$K54))</f>
        <v>0.5</v>
      </c>
      <c r="H54" s="60">
        <f>IF(SUMIF('regrets 6'!$G54:$K54, "&gt;0") &gt; 0, MAX('regrets 6'!H54, 0) / SUMIF('regrets 6'!$G54:$K54, "&gt;0"), 1 / COUNT('regrets 6'!$G54:$K54))</f>
        <v>0.5</v>
      </c>
      <c r="I54" s="61"/>
      <c r="J54" s="61"/>
      <c r="K54" s="90"/>
      <c r="L54" s="60">
        <f>IF(SUMIF('regrets 6'!$L54:$P54, "&gt;0") &gt; 0, MAX('regrets 6'!L54, 0) / SUMIF('regrets 6'!$L54:$P54, "&gt;0"), 1 / COUNT('regrets 6'!$L54:$P54))</f>
        <v>0.5</v>
      </c>
      <c r="M54" s="60">
        <f>IF(SUMIF('regrets 6'!$L54:$P54, "&gt;0") &gt; 0, MAX('regrets 6'!M54, 0) / SUMIF('regrets 6'!$L54:$P54, "&gt;0"), 1 / COUNT('regrets 6'!$L54:$P54))</f>
        <v>0.5</v>
      </c>
      <c r="N54" s="61"/>
      <c r="O54" s="61"/>
      <c r="P54" s="90"/>
      <c r="Q54" s="60">
        <f>IF(SUMIF('regrets 6'!$Q54:$U54, "&gt;0") &gt; 0, MAX('regrets 6'!Q54, 0) / SUMIF('regrets 6'!$Q54:$U54, "&gt;0"), 1 / COUNT('regrets 6'!$Q54:$U54))</f>
        <v>0.5</v>
      </c>
      <c r="R54" s="60">
        <f>IF(SUMIF('regrets 6'!$Q54:$U54, "&gt;0") &gt; 0, MAX('regrets 6'!R54, 0) / SUMIF('regrets 6'!$Q54:$U54, "&gt;0"), 1 / COUNT('regrets 6'!$Q54:$U54))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IF(SUMIF('regrets 6'!$B55:$F55, "&gt;0") &gt; 0, MAX('regrets 6'!B55, 0) / SUMIF('regrets 6'!$B55:$F55, "&gt;0"), 1 / COUNT('regrets 6'!$B55:$F55))</f>
        <v>0</v>
      </c>
      <c r="C55" s="61">
        <f>IF(SUMIF('regrets 6'!$B55:$F55, "&gt;0") &gt; 0, MAX('regrets 6'!C55, 0) / SUMIF('regrets 6'!$B55:$F55, "&gt;0"), 1 / COUNT('regrets 6'!$B55:$F55))</f>
        <v>1</v>
      </c>
      <c r="D55" s="61">
        <f>IF(SUMIF('regrets 6'!$B55:$F55, "&gt;0") &gt; 0, MAX('regrets 6'!D55, 0) / SUMIF('regrets 6'!$B55:$F55, "&gt;0"), 1 / COUNT('regrets 6'!$B55:$F55))</f>
        <v>0</v>
      </c>
      <c r="E55" s="61"/>
      <c r="F55" s="90"/>
      <c r="G55" s="60">
        <f>IF(SUMIF('regrets 6'!$G55:$K55, "&gt;0") &gt; 0, MAX('regrets 6'!G55, 0) / SUMIF('regrets 6'!$G55:$K55, "&gt;0"), 1 / COUNT('regrets 6'!$G55:$K55))</f>
        <v>0.33333333333333331</v>
      </c>
      <c r="H55" s="60">
        <f>IF(SUMIF('regrets 6'!$G55:$K55, "&gt;0") &gt; 0, MAX('regrets 6'!H55, 0) / SUMIF('regrets 6'!$G55:$K55, "&gt;0"), 1 / COUNT('regrets 6'!$G55:$K55))</f>
        <v>0.33333333333333331</v>
      </c>
      <c r="I55" s="60">
        <f>IF(SUMIF('regrets 6'!$G55:$K55, "&gt;0") &gt; 0, MAX('regrets 6'!I55, 0) / SUMIF('regrets 6'!$G55:$K55, "&gt;0"), 1 / COUNT('regrets 6'!$G55:$K55))</f>
        <v>0.33333333333333331</v>
      </c>
      <c r="J55" s="61"/>
      <c r="K55" s="90"/>
      <c r="L55" s="60">
        <f>IF(SUMIF('regrets 6'!$L55:$P55, "&gt;0") &gt; 0, MAX('regrets 6'!L55, 0) / SUMIF('regrets 6'!$L55:$P55, "&gt;0"), 1 / COUNT('regrets 6'!$L55:$P55))</f>
        <v>0.33333333333333331</v>
      </c>
      <c r="M55" s="60">
        <f>IF(SUMIF('regrets 6'!$L55:$P55, "&gt;0") &gt; 0, MAX('regrets 6'!M55, 0) / SUMIF('regrets 6'!$L55:$P55, "&gt;0"), 1 / COUNT('regrets 6'!$L55:$P55))</f>
        <v>0.33333333333333331</v>
      </c>
      <c r="N55" s="60">
        <f>IF(SUMIF('regrets 6'!$L55:$P55, "&gt;0") &gt; 0, MAX('regrets 6'!N55, 0) / SUMIF('regrets 6'!$L55:$P55, "&gt;0"), 1 / COUNT('regrets 6'!$L55:$P55))</f>
        <v>0.33333333333333331</v>
      </c>
      <c r="O55" s="61"/>
      <c r="P55" s="90"/>
      <c r="Q55" s="60">
        <f>IF(SUMIF('regrets 6'!$Q55:$U55, "&gt;0") &gt; 0, MAX('regrets 6'!Q55, 0) / SUMIF('regrets 6'!$Q55:$U55, "&gt;0"), 1 / COUNT('regrets 6'!$Q55:$U55))</f>
        <v>0.33333333333333331</v>
      </c>
      <c r="R55" s="60">
        <f>IF(SUMIF('regrets 6'!$Q55:$U55, "&gt;0") &gt; 0, MAX('regrets 6'!R55, 0) / SUMIF('regrets 6'!$Q55:$U55, "&gt;0"), 1 / COUNT('regrets 6'!$Q55:$U55))</f>
        <v>0.33333333333333331</v>
      </c>
      <c r="S55" s="60">
        <f>IF(SUMIF('regrets 6'!$Q55:$U55, "&gt;0") &gt; 0, MAX('regrets 6'!S55, 0) / SUMIF('regrets 6'!$Q55:$U55, "&gt;0"), 1 / COUNT('regrets 6'!$Q55:$U55))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IF(SUMIF('regrets 6'!$B56:$F56, "&gt;0") &gt; 0, MAX('regrets 6'!B56, 0) / SUMIF('regrets 6'!$B56:$F56, "&gt;0"), 1 / COUNT('regrets 6'!$B56:$F56))</f>
        <v>0.5</v>
      </c>
      <c r="C56" s="61">
        <f>IF(SUMIF('regrets 6'!$B56:$F56, "&gt;0") &gt; 0, MAX('regrets 6'!C56, 0) / SUMIF('regrets 6'!$B56:$F56, "&gt;0"), 1 / COUNT('regrets 6'!$B56:$F56))</f>
        <v>0.5</v>
      </c>
      <c r="D56" s="61"/>
      <c r="E56" s="61"/>
      <c r="F56" s="90"/>
      <c r="G56" s="60">
        <f>IF(SUMIF('regrets 6'!$G56:$K56, "&gt;0") &gt; 0, MAX('regrets 6'!G56, 0) / SUMIF('regrets 6'!$G56:$K56, "&gt;0"), 1 / COUNT('regrets 6'!$G56:$K56))</f>
        <v>1</v>
      </c>
      <c r="H56" s="60">
        <f>IF(SUMIF('regrets 6'!$G56:$K56, "&gt;0") &gt; 0, MAX('regrets 6'!H56, 0) / SUMIF('regrets 6'!$G56:$K56, "&gt;0"), 1 / COUNT('regrets 6'!$G56:$K56))</f>
        <v>0</v>
      </c>
      <c r="I56" s="61"/>
      <c r="J56" s="61"/>
      <c r="K56" s="90"/>
      <c r="L56" s="60">
        <f>IF(SUMIF('regrets 6'!$L56:$P56, "&gt;0") &gt; 0, MAX('regrets 6'!L56, 0) / SUMIF('regrets 6'!$L56:$P56, "&gt;0"), 1 / COUNT('regrets 6'!$L56:$P56))</f>
        <v>0.5</v>
      </c>
      <c r="M56" s="60">
        <f>IF(SUMIF('regrets 6'!$L56:$P56, "&gt;0") &gt; 0, MAX('regrets 6'!M56, 0) / SUMIF('regrets 6'!$L56:$P56, "&gt;0"), 1 / COUNT('regrets 6'!$L56:$P56))</f>
        <v>0.5</v>
      </c>
      <c r="N56" s="61"/>
      <c r="O56" s="61"/>
      <c r="P56" s="90"/>
      <c r="Q56" s="60">
        <f>IF(SUMIF('regrets 6'!$Q56:$U56, "&gt;0") &gt; 0, MAX('regrets 6'!Q56, 0) / SUMIF('regrets 6'!$Q56:$U56, "&gt;0"), 1 / COUNT('regrets 6'!$Q56:$U56))</f>
        <v>0.5</v>
      </c>
      <c r="R56" s="60">
        <f>IF(SUMIF('regrets 6'!$Q56:$U56, "&gt;0") &gt; 0, MAX('regrets 6'!R56, 0) / SUMIF('regrets 6'!$Q56:$U56, "&gt;0"), 1 / COUNT('regrets 6'!$Q56:$U56))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IF(SUMIF('regrets 6'!$B57:$F57, "&gt;0") &gt; 0, MAX('regrets 6'!C57, 0) / SUMIF('regrets 6'!$B57:$F57, "&gt;0"), 1 / COUNT('regrets 6'!$B57:$F57))</f>
        <v>0.5</v>
      </c>
      <c r="D57" s="61">
        <f>IF(SUMIF('regrets 6'!$B57:$F57, "&gt;0") &gt; 0, MAX('regrets 6'!D57, 0) / SUMIF('regrets 6'!$B57:$F57, "&gt;0"), 1 / COUNT('regrets 6'!$B57:$F57))</f>
        <v>0.5</v>
      </c>
      <c r="E57" s="61"/>
      <c r="F57" s="90"/>
      <c r="G57" s="60"/>
      <c r="H57" s="60">
        <f>IF(SUMIF('regrets 6'!$G57:$K57, "&gt;0") &gt; 0, MAX('regrets 6'!H57, 0) / SUMIF('regrets 6'!$G57:$K57, "&gt;0"), 1 / COUNT('regrets 6'!$G57:$K57))</f>
        <v>0.5</v>
      </c>
      <c r="I57" s="60">
        <f>IF(SUMIF('regrets 6'!$G57:$K57, "&gt;0") &gt; 0, MAX('regrets 6'!I57, 0) / SUMIF('regrets 6'!$G57:$K57, "&gt;0"), 1 / COUNT('regrets 6'!$G57:$K57))</f>
        <v>0.5</v>
      </c>
      <c r="J57" s="61"/>
      <c r="K57" s="90"/>
      <c r="L57" s="60"/>
      <c r="M57" s="60">
        <f>IF(SUMIF('regrets 6'!$L57:$P57, "&gt;0") &gt; 0, MAX('regrets 6'!M57, 0) / SUMIF('regrets 6'!$L57:$P57, "&gt;0"), 1 / COUNT('regrets 6'!$L57:$P57))</f>
        <v>0.5</v>
      </c>
      <c r="N57" s="60">
        <f>IF(SUMIF('regrets 6'!$L57:$P57, "&gt;0") &gt; 0, MAX('regrets 6'!N57, 0) / SUMIF('regrets 6'!$L57:$P57, "&gt;0"), 1 / COUNT('regrets 6'!$L57:$P57))</f>
        <v>0.5</v>
      </c>
      <c r="O57" s="61"/>
      <c r="P57" s="90"/>
      <c r="Q57" s="60"/>
      <c r="R57" s="60">
        <f>IF(SUMIF('regrets 6'!$Q57:$U57, "&gt;0") &gt; 0, MAX('regrets 6'!R57, 0) / SUMIF('regrets 6'!$Q57:$U57, "&gt;0"), 1 / COUNT('regrets 6'!$Q57:$U57))</f>
        <v>0.5</v>
      </c>
      <c r="S57" s="60">
        <f>IF(SUMIF('regrets 6'!$Q57:$U57, "&gt;0") &gt; 0, MAX('regrets 6'!S57, 0) / SUMIF('regrets 6'!$Q57:$U57, "&gt;0"), 1 / COUNT('regrets 6'!$Q57:$U57))</f>
        <v>0.5</v>
      </c>
      <c r="T57" s="61"/>
      <c r="U57" s="90"/>
    </row>
    <row r="58" spans="1:21" ht="20" customHeight="1" x14ac:dyDescent="0.15">
      <c r="A58" s="12">
        <v>17</v>
      </c>
      <c r="B58" s="61">
        <f>IF(SUMIF('regrets 6'!$B58:$F58, "&gt;0") &gt; 0, MAX('regrets 6'!B58, 0) / SUMIF('regrets 6'!$B58:$F58, "&gt;0"), 1 / COUNT('regrets 6'!$B58:$F58))</f>
        <v>0.5</v>
      </c>
      <c r="C58" s="61">
        <f>IF(SUMIF('regrets 6'!$B58:$F58, "&gt;0") &gt; 0, MAX('regrets 6'!C58, 0) / SUMIF('regrets 6'!$B58:$F58, "&gt;0"), 1 / COUNT('regrets 6'!$B58:$F58))</f>
        <v>0.5</v>
      </c>
      <c r="D58" s="61"/>
      <c r="E58" s="61"/>
      <c r="F58" s="90"/>
      <c r="G58" s="60">
        <f>IF(SUMIF('regrets 6'!$G58:$K58, "&gt;0") &gt; 0, MAX('regrets 6'!G58, 0) / SUMIF('regrets 6'!$G58:$K58, "&gt;0"), 1 / COUNT('regrets 6'!$G58:$K58))</f>
        <v>0.5</v>
      </c>
      <c r="H58" s="60">
        <f>IF(SUMIF('regrets 6'!$G58:$K58, "&gt;0") &gt; 0, MAX('regrets 6'!H58, 0) / SUMIF('regrets 6'!$G58:$K58, "&gt;0"), 1 / COUNT('regrets 6'!$G58:$K58))</f>
        <v>0.5</v>
      </c>
      <c r="I58" s="61"/>
      <c r="J58" s="61"/>
      <c r="K58" s="90"/>
      <c r="L58" s="60">
        <f>IF(SUMIF('regrets 6'!$L58:$P58, "&gt;0") &gt; 0, MAX('regrets 6'!L58, 0) / SUMIF('regrets 6'!$L58:$P58, "&gt;0"), 1 / COUNT('regrets 6'!$L58:$P58))</f>
        <v>0.5</v>
      </c>
      <c r="M58" s="60">
        <f>IF(SUMIF('regrets 6'!$L58:$P58, "&gt;0") &gt; 0, MAX('regrets 6'!M58, 0) / SUMIF('regrets 6'!$L58:$P58, "&gt;0"), 1 / COUNT('regrets 6'!$L58:$P58))</f>
        <v>0.5</v>
      </c>
      <c r="N58" s="61"/>
      <c r="O58" s="61"/>
      <c r="P58" s="90"/>
      <c r="Q58" s="60">
        <f>IF(SUMIF('regrets 6'!$Q58:$U58, "&gt;0") &gt; 0, MAX('regrets 6'!Q58, 0) / SUMIF('regrets 6'!$Q58:$U58, "&gt;0"), 1 / COUNT('regrets 6'!$Q58:$U58))</f>
        <v>0.5</v>
      </c>
      <c r="R58" s="60">
        <f>IF(SUMIF('regrets 6'!$Q58:$U58, "&gt;0") &gt; 0, MAX('regrets 6'!R58, 0) / SUMIF('regrets 6'!$Q58:$U58, "&gt;0"), 1 / COUNT('regrets 6'!$Q58:$U58))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IF(SUMIF('regrets 6'!$B59:$F59, "&gt;0") &gt; 0, MAX('regrets 6'!B59, 0) / SUMIF('regrets 6'!$B59:$F59, "&gt;0"), 1 / COUNT('regrets 6'!$B59:$F59))</f>
        <v>0.5</v>
      </c>
      <c r="C59" s="61">
        <f>IF(SUMIF('regrets 6'!$B59:$F59, "&gt;0") &gt; 0, MAX('regrets 6'!C59, 0) / SUMIF('regrets 6'!$B59:$F59, "&gt;0"), 1 / COUNT('regrets 6'!$B59:$F59))</f>
        <v>0.5</v>
      </c>
      <c r="D59" s="61"/>
      <c r="E59" s="61"/>
      <c r="F59" s="90"/>
      <c r="G59" s="60">
        <f>IF(SUMIF('regrets 6'!$G59:$K59, "&gt;0") &gt; 0, MAX('regrets 6'!G59, 0) / SUMIF('regrets 6'!$G59:$K59, "&gt;0"), 1 / COUNT('regrets 6'!$G59:$K59))</f>
        <v>0.5</v>
      </c>
      <c r="H59" s="60">
        <f>IF(SUMIF('regrets 6'!$G59:$K59, "&gt;0") &gt; 0, MAX('regrets 6'!H59, 0) / SUMIF('regrets 6'!$G59:$K59, "&gt;0"), 1 / COUNT('regrets 6'!$G59:$K59))</f>
        <v>0.5</v>
      </c>
      <c r="I59" s="61"/>
      <c r="J59" s="61"/>
      <c r="K59" s="90"/>
      <c r="L59" s="60">
        <f>IF(SUMIF('regrets 6'!$L59:$P59, "&gt;0") &gt; 0, MAX('regrets 6'!L59, 0) / SUMIF('regrets 6'!$L59:$P59, "&gt;0"), 1 / COUNT('regrets 6'!$L59:$P59))</f>
        <v>0.5</v>
      </c>
      <c r="M59" s="60">
        <f>IF(SUMIF('regrets 6'!$L59:$P59, "&gt;0") &gt; 0, MAX('regrets 6'!M59, 0) / SUMIF('regrets 6'!$L59:$P59, "&gt;0"), 1 / COUNT('regrets 6'!$L59:$P59))</f>
        <v>0.5</v>
      </c>
      <c r="N59" s="61"/>
      <c r="O59" s="61"/>
      <c r="P59" s="90"/>
      <c r="Q59" s="60">
        <f>IF(SUMIF('regrets 6'!$Q59:$U59, "&gt;0") &gt; 0, MAX('regrets 6'!Q59, 0) / SUMIF('regrets 6'!$Q59:$U59, "&gt;0"), 1 / COUNT('regrets 6'!$Q59:$U59))</f>
        <v>0.5</v>
      </c>
      <c r="R59" s="60">
        <f>IF(SUMIF('regrets 6'!$Q59:$U59, "&gt;0") &gt; 0, MAX('regrets 6'!R59, 0) / SUMIF('regrets 6'!$Q59:$U59, "&gt;0"), 1 / COUNT('regrets 6'!$Q59:$U59))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IF(SUMIF('regrets 6'!$B60:$F60, "&gt;0") &gt; 0, MAX('regrets 6'!B60, 0) / SUMIF('regrets 6'!$B60:$F60, "&gt;0"), 1 / COUNT('regrets 6'!$B60:$F60))</f>
        <v>0.5</v>
      </c>
      <c r="C60" s="61">
        <f>IF(SUMIF('regrets 6'!$B60:$F60, "&gt;0") &gt; 0, MAX('regrets 6'!C60, 0) / SUMIF('regrets 6'!$B60:$F60, "&gt;0"), 1 / COUNT('regrets 6'!$B60:$F60))</f>
        <v>0.5</v>
      </c>
      <c r="D60" s="61"/>
      <c r="E60" s="61"/>
      <c r="F60" s="90"/>
      <c r="G60" s="60">
        <f>IF(SUMIF('regrets 6'!$G60:$K60, "&gt;0") &gt; 0, MAX('regrets 6'!G60, 0) / SUMIF('regrets 6'!$G60:$K60, "&gt;0"), 1 / COUNT('regrets 6'!$G60:$K60))</f>
        <v>0.5</v>
      </c>
      <c r="H60" s="60">
        <f>IF(SUMIF('regrets 6'!$G60:$K60, "&gt;0") &gt; 0, MAX('regrets 6'!H60, 0) / SUMIF('regrets 6'!$G60:$K60, "&gt;0"), 1 / COUNT('regrets 6'!$G60:$K60))</f>
        <v>0.5</v>
      </c>
      <c r="I60" s="61"/>
      <c r="J60" s="61"/>
      <c r="K60" s="90"/>
      <c r="L60" s="60">
        <f>IF(SUMIF('regrets 6'!$L60:$P60, "&gt;0") &gt; 0, MAX('regrets 6'!L60, 0) / SUMIF('regrets 6'!$L60:$P60, "&gt;0"), 1 / COUNT('regrets 6'!$L60:$P60))</f>
        <v>0.5</v>
      </c>
      <c r="M60" s="60">
        <f>IF(SUMIF('regrets 6'!$L60:$P60, "&gt;0") &gt; 0, MAX('regrets 6'!M60, 0) / SUMIF('regrets 6'!$L60:$P60, "&gt;0"), 1 / COUNT('regrets 6'!$L60:$P60))</f>
        <v>0.5</v>
      </c>
      <c r="N60" s="61"/>
      <c r="O60" s="61"/>
      <c r="P60" s="90"/>
      <c r="Q60" s="60">
        <f>IF(SUMIF('regrets 6'!$Q60:$U60, "&gt;0") &gt; 0, MAX('regrets 6'!Q60, 0) / SUMIF('regrets 6'!$Q60:$U60, "&gt;0"), 1 / COUNT('regrets 6'!$Q60:$U60))</f>
        <v>0.5</v>
      </c>
      <c r="R60" s="60">
        <f>IF(SUMIF('regrets 6'!$Q60:$U60, "&gt;0") &gt; 0, MAX('regrets 6'!R60, 0) / SUMIF('regrets 6'!$Q60:$U60, "&gt;0"), 1 / COUNT('regrets 6'!$Q60:$U60))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IF(SUMIF('regrets 6'!$B61:$F61, "&gt;0") &gt; 0, MAX('regrets 6'!C61, 0) / SUMIF('regrets 6'!$B61:$F61, "&gt;0"), 1 / COUNT('regrets 6'!$B61:$F61))</f>
        <v>0.5</v>
      </c>
      <c r="D61" s="61">
        <f>IF(SUMIF('regrets 6'!$B61:$F61, "&gt;0") &gt; 0, MAX('regrets 6'!D61, 0) / SUMIF('regrets 6'!$B61:$F61, "&gt;0"), 1 / COUNT('regrets 6'!$B61:$F61))</f>
        <v>0.5</v>
      </c>
      <c r="E61" s="61"/>
      <c r="F61" s="90"/>
      <c r="G61" s="60"/>
      <c r="H61" s="60">
        <f>IF(SUMIF('regrets 6'!$G61:$K61, "&gt;0") &gt; 0, MAX('regrets 6'!H61, 0) / SUMIF('regrets 6'!$G61:$K61, "&gt;0"), 1 / COUNT('regrets 6'!$G61:$K61))</f>
        <v>0.5</v>
      </c>
      <c r="I61" s="60">
        <f>IF(SUMIF('regrets 6'!$G61:$K61, "&gt;0") &gt; 0, MAX('regrets 6'!I61, 0) / SUMIF('regrets 6'!$G61:$K61, "&gt;0"), 1 / COUNT('regrets 6'!$G61:$K61))</f>
        <v>0.5</v>
      </c>
      <c r="J61" s="61"/>
      <c r="K61" s="90"/>
      <c r="L61" s="60"/>
      <c r="M61" s="60">
        <f>IF(SUMIF('regrets 6'!$L61:$P61, "&gt;0") &gt; 0, MAX('regrets 6'!M61, 0) / SUMIF('regrets 6'!$L61:$P61, "&gt;0"), 1 / COUNT('regrets 6'!$L61:$P61))</f>
        <v>0.5</v>
      </c>
      <c r="N61" s="60">
        <f>IF(SUMIF('regrets 6'!$L61:$P61, "&gt;0") &gt; 0, MAX('regrets 6'!N61, 0) / SUMIF('regrets 6'!$L61:$P61, "&gt;0"), 1 / COUNT('regrets 6'!$L61:$P61))</f>
        <v>0.5</v>
      </c>
      <c r="O61" s="61"/>
      <c r="P61" s="90"/>
      <c r="Q61" s="60"/>
      <c r="R61" s="60">
        <f>IF(SUMIF('regrets 6'!$Q61:$U61, "&gt;0") &gt; 0, MAX('regrets 6'!R61, 0) / SUMIF('regrets 6'!$Q61:$U61, "&gt;0"), 1 / COUNT('regrets 6'!$Q61:$U61))</f>
        <v>0.5</v>
      </c>
      <c r="S61" s="60">
        <f>IF(SUMIF('regrets 6'!$Q61:$U61, "&gt;0") &gt; 0, MAX('regrets 6'!S61, 0) / SUMIF('regrets 6'!$Q61:$U61, "&gt;0"), 1 / COUNT('regrets 6'!$Q61:$U61))</f>
        <v>0.5</v>
      </c>
      <c r="T61" s="61"/>
      <c r="U61" s="90"/>
    </row>
    <row r="62" spans="1:21" ht="20" customHeight="1" x14ac:dyDescent="0.15">
      <c r="A62" s="12">
        <v>21</v>
      </c>
      <c r="B62" s="61">
        <f>IF(SUMIF('regrets 6'!$B62:$F62, "&gt;0") &gt; 0, MAX('regrets 6'!B62, 0) / SUMIF('regrets 6'!$B62:$F62, "&gt;0"), 1 / COUNT('regrets 6'!$B62:$F62))</f>
        <v>0.5</v>
      </c>
      <c r="C62" s="61">
        <f>IF(SUMIF('regrets 6'!$B62:$F62, "&gt;0") &gt; 0, MAX('regrets 6'!C62, 0) / SUMIF('regrets 6'!$B62:$F62, "&gt;0"), 1 / COUNT('regrets 6'!$B62:$F62))</f>
        <v>0.5</v>
      </c>
      <c r="D62" s="61"/>
      <c r="E62" s="61"/>
      <c r="F62" s="90"/>
      <c r="G62" s="60">
        <f>IF(SUMIF('regrets 6'!$G62:$K62, "&gt;0") &gt; 0, MAX('regrets 6'!G62, 0) / SUMIF('regrets 6'!$G62:$K62, "&gt;0"), 1 / COUNT('regrets 6'!$G62:$K62))</f>
        <v>0.5</v>
      </c>
      <c r="H62" s="60">
        <f>IF(SUMIF('regrets 6'!$G62:$K62, "&gt;0") &gt; 0, MAX('regrets 6'!H62, 0) / SUMIF('regrets 6'!$G62:$K62, "&gt;0"), 1 / COUNT('regrets 6'!$G62:$K62))</f>
        <v>0.5</v>
      </c>
      <c r="I62" s="61"/>
      <c r="J62" s="61"/>
      <c r="K62" s="90"/>
      <c r="L62" s="60">
        <f>IF(SUMIF('regrets 6'!$L62:$P62, "&gt;0") &gt; 0, MAX('regrets 6'!L62, 0) / SUMIF('regrets 6'!$L62:$P62, "&gt;0"), 1 / COUNT('regrets 6'!$L62:$P62))</f>
        <v>0.5</v>
      </c>
      <c r="M62" s="60">
        <f>IF(SUMIF('regrets 6'!$L62:$P62, "&gt;0") &gt; 0, MAX('regrets 6'!M62, 0) / SUMIF('regrets 6'!$L62:$P62, "&gt;0"), 1 / COUNT('regrets 6'!$L62:$P62))</f>
        <v>0.5</v>
      </c>
      <c r="N62" s="61"/>
      <c r="O62" s="61"/>
      <c r="P62" s="90"/>
      <c r="Q62" s="60">
        <f>IF(SUMIF('regrets 6'!$Q62:$U62, "&gt;0") &gt; 0, MAX('regrets 6'!Q62, 0) / SUMIF('regrets 6'!$Q62:$U62, "&gt;0"), 1 / COUNT('regrets 6'!$Q62:$U62))</f>
        <v>0.5</v>
      </c>
      <c r="R62" s="60">
        <f>IF(SUMIF('regrets 6'!$Q62:$U62, "&gt;0") &gt; 0, MAX('regrets 6'!R62, 0) / SUMIF('regrets 6'!$Q62:$U62, "&gt;0"), 1 / COUNT('regrets 6'!$Q62:$U62))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IF(SUMIF('regrets 6'!$B63:$F63, "&gt;0") &gt; 0, MAX('regrets 6'!B63, 0) / SUMIF('regrets 6'!$B63:$F63, "&gt;0"), 1 / COUNT('regrets 6'!$B63:$F63))</f>
        <v>0.5</v>
      </c>
      <c r="C63" s="61">
        <f>IF(SUMIF('regrets 6'!$B63:$F63, "&gt;0") &gt; 0, MAX('regrets 6'!C63, 0) / SUMIF('regrets 6'!$B63:$F63, "&gt;0"), 1 / COUNT('regrets 6'!$B63:$F63))</f>
        <v>0.5</v>
      </c>
      <c r="D63" s="61"/>
      <c r="E63" s="61"/>
      <c r="F63" s="90"/>
      <c r="G63" s="60">
        <f>IF(SUMIF('regrets 6'!$G63:$K63, "&gt;0") &gt; 0, MAX('regrets 6'!G63, 0) / SUMIF('regrets 6'!$G63:$K63, "&gt;0"), 1 / COUNT('regrets 6'!$G63:$K63))</f>
        <v>0.5</v>
      </c>
      <c r="H63" s="60">
        <f>IF(SUMIF('regrets 6'!$G63:$K63, "&gt;0") &gt; 0, MAX('regrets 6'!H63, 0) / SUMIF('regrets 6'!$G63:$K63, "&gt;0"), 1 / COUNT('regrets 6'!$G63:$K63))</f>
        <v>0.5</v>
      </c>
      <c r="I63" s="61"/>
      <c r="J63" s="61"/>
      <c r="K63" s="90"/>
      <c r="L63" s="60">
        <f>IF(SUMIF('regrets 6'!$L63:$P63, "&gt;0") &gt; 0, MAX('regrets 6'!L63, 0) / SUMIF('regrets 6'!$L63:$P63, "&gt;0"), 1 / COUNT('regrets 6'!$L63:$P63))</f>
        <v>0.5</v>
      </c>
      <c r="M63" s="60">
        <f>IF(SUMIF('regrets 6'!$L63:$P63, "&gt;0") &gt; 0, MAX('regrets 6'!M63, 0) / SUMIF('regrets 6'!$L63:$P63, "&gt;0"), 1 / COUNT('regrets 6'!$L63:$P63))</f>
        <v>0.5</v>
      </c>
      <c r="N63" s="61"/>
      <c r="O63" s="61"/>
      <c r="P63" s="90"/>
      <c r="Q63" s="60">
        <f>IF(SUMIF('regrets 6'!$Q63:$U63, "&gt;0") &gt; 0, MAX('regrets 6'!Q63, 0) / SUMIF('regrets 6'!$Q63:$U63, "&gt;0"), 1 / COUNT('regrets 6'!$Q63:$U63))</f>
        <v>0.5</v>
      </c>
      <c r="R63" s="60">
        <f>IF(SUMIF('regrets 6'!$Q63:$U63, "&gt;0") &gt; 0, MAX('regrets 6'!R63, 0) / SUMIF('regrets 6'!$Q63:$U63, "&gt;0"), 1 / COUNT('regrets 6'!$Q63:$U63))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IF(SUMIF('regrets 6'!$B64:$F64, "&gt;0") &gt; 0, MAX('regrets 6'!B64, 0) / SUMIF('regrets 6'!$B64:$F64, "&gt;0"), 1 / COUNT('regrets 6'!$B64:$F64))</f>
        <v>0.5</v>
      </c>
      <c r="C64" s="61">
        <f>IF(SUMIF('regrets 6'!$B64:$F64, "&gt;0") &gt; 0, MAX('regrets 6'!C64, 0) / SUMIF('regrets 6'!$B64:$F64, "&gt;0"), 1 / COUNT('regrets 6'!$B64:$F64))</f>
        <v>0.5</v>
      </c>
      <c r="D64" s="61"/>
      <c r="E64" s="61"/>
      <c r="F64" s="90"/>
      <c r="G64" s="60">
        <f>IF(SUMIF('regrets 6'!$G64:$K64, "&gt;0") &gt; 0, MAX('regrets 6'!G64, 0) / SUMIF('regrets 6'!$G64:$K64, "&gt;0"), 1 / COUNT('regrets 6'!$G64:$K64))</f>
        <v>0.5</v>
      </c>
      <c r="H64" s="60">
        <f>IF(SUMIF('regrets 6'!$G64:$K64, "&gt;0") &gt; 0, MAX('regrets 6'!H64, 0) / SUMIF('regrets 6'!$G64:$K64, "&gt;0"), 1 / COUNT('regrets 6'!$G64:$K64))</f>
        <v>0.5</v>
      </c>
      <c r="I64" s="61"/>
      <c r="J64" s="61"/>
      <c r="K64" s="90"/>
      <c r="L64" s="60">
        <f>IF(SUMIF('regrets 6'!$L64:$P64, "&gt;0") &gt; 0, MAX('regrets 6'!L64, 0) / SUMIF('regrets 6'!$L64:$P64, "&gt;0"), 1 / COUNT('regrets 6'!$L64:$P64))</f>
        <v>0.5</v>
      </c>
      <c r="M64" s="60">
        <f>IF(SUMIF('regrets 6'!$L64:$P64, "&gt;0") &gt; 0, MAX('regrets 6'!M64, 0) / SUMIF('regrets 6'!$L64:$P64, "&gt;0"), 1 / COUNT('regrets 6'!$L64:$P64))</f>
        <v>0.5</v>
      </c>
      <c r="N64" s="61"/>
      <c r="O64" s="61"/>
      <c r="P64" s="90"/>
      <c r="Q64" s="60">
        <f>IF(SUMIF('regrets 6'!$Q64:$U64, "&gt;0") &gt; 0, MAX('regrets 6'!Q64, 0) / SUMIF('regrets 6'!$Q64:$U64, "&gt;0"), 1 / COUNT('regrets 6'!$Q64:$U64))</f>
        <v>0.5</v>
      </c>
      <c r="R64" s="60">
        <f>IF(SUMIF('regrets 6'!$Q64:$U64, "&gt;0") &gt; 0, MAX('regrets 6'!R64, 0) / SUMIF('regrets 6'!$Q64:$U64, "&gt;0"), 1 / COUNT('regrets 6'!$Q64:$U64))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IF(SUMIF('regrets 6'!$B65:$F65, "&gt;0") &gt; 0, MAX('regrets 6'!C65, 0) / SUMIF('regrets 6'!$B65:$F65, "&gt;0"), 1 / COUNT('regrets 6'!$B65:$F65))</f>
        <v>0.5</v>
      </c>
      <c r="D65" s="61">
        <f>IF(SUMIF('regrets 6'!$B65:$F65, "&gt;0") &gt; 0, MAX('regrets 6'!D65, 0) / SUMIF('regrets 6'!$B65:$F65, "&gt;0"), 1 / COUNT('regrets 6'!$B65:$F65))</f>
        <v>0.5</v>
      </c>
      <c r="E65" s="61"/>
      <c r="F65" s="90"/>
      <c r="G65" s="60"/>
      <c r="H65" s="60">
        <f>IF(SUMIF('regrets 6'!$G65:$K65, "&gt;0") &gt; 0, MAX('regrets 6'!H65, 0) / SUMIF('regrets 6'!$G65:$K65, "&gt;0"), 1 / COUNT('regrets 6'!$G65:$K65))</f>
        <v>0.5</v>
      </c>
      <c r="I65" s="60">
        <f>IF(SUMIF('regrets 6'!$G65:$K65, "&gt;0") &gt; 0, MAX('regrets 6'!I65, 0) / SUMIF('regrets 6'!$G65:$K65, "&gt;0"), 1 / COUNT('regrets 6'!$G65:$K65))</f>
        <v>0.5</v>
      </c>
      <c r="J65" s="61"/>
      <c r="K65" s="90"/>
      <c r="L65" s="60"/>
      <c r="M65" s="60">
        <f>IF(SUMIF('regrets 6'!$L65:$P65, "&gt;0") &gt; 0, MAX('regrets 6'!M65, 0) / SUMIF('regrets 6'!$L65:$P65, "&gt;0"), 1 / COUNT('regrets 6'!$L65:$P65))</f>
        <v>0.5</v>
      </c>
      <c r="N65" s="60">
        <f>IF(SUMIF('regrets 6'!$L65:$P65, "&gt;0") &gt; 0, MAX('regrets 6'!N65, 0) / SUMIF('regrets 6'!$L65:$P65, "&gt;0"), 1 / COUNT('regrets 6'!$L65:$P65))</f>
        <v>0.5</v>
      </c>
      <c r="O65" s="61"/>
      <c r="P65" s="90"/>
      <c r="Q65" s="60"/>
      <c r="R65" s="60">
        <f>IF(SUMIF('regrets 6'!$Q65:$U65, "&gt;0") &gt; 0, MAX('regrets 6'!R65, 0) / SUMIF('regrets 6'!$Q65:$U65, "&gt;0"), 1 / COUNT('regrets 6'!$Q65:$U65))</f>
        <v>0.5</v>
      </c>
      <c r="S65" s="60">
        <f>IF(SUMIF('regrets 6'!$Q65:$U65, "&gt;0") &gt; 0, MAX('regrets 6'!S65, 0) / SUMIF('regrets 6'!$Q65:$U65, "&gt;0"), 1 / COUNT('regrets 6'!$Q65:$U65))</f>
        <v>0.5</v>
      </c>
      <c r="T65" s="61"/>
      <c r="U65" s="90"/>
    </row>
    <row r="66" spans="1:21" ht="20" customHeight="1" x14ac:dyDescent="0.15">
      <c r="A66" s="12">
        <v>25</v>
      </c>
      <c r="B66" s="61">
        <f>IF(SUMIF('regrets 6'!$B66:$F66, "&gt;0") &gt; 0, MAX('regrets 6'!B66, 0) / SUMIF('regrets 6'!$B66:$F66, "&gt;0"), 1 / COUNT('regrets 6'!$B66:$F66))</f>
        <v>0.5</v>
      </c>
      <c r="C66" s="61">
        <f>IF(SUMIF('regrets 6'!$B66:$F66, "&gt;0") &gt; 0, MAX('regrets 6'!C66, 0) / SUMIF('regrets 6'!$B66:$F66, "&gt;0"), 1 / COUNT('regrets 6'!$B66:$F66))</f>
        <v>0.5</v>
      </c>
      <c r="D66" s="61"/>
      <c r="E66" s="61"/>
      <c r="F66" s="90"/>
      <c r="G66" s="60">
        <f>IF(SUMIF('regrets 6'!$G66:$K66, "&gt;0") &gt; 0, MAX('regrets 6'!G66, 0) / SUMIF('regrets 6'!$G66:$K66, "&gt;0"), 1 / COUNT('regrets 6'!$G66:$K66))</f>
        <v>0.5</v>
      </c>
      <c r="H66" s="60">
        <f>IF(SUMIF('regrets 6'!$G66:$K66, "&gt;0") &gt; 0, MAX('regrets 6'!H66, 0) / SUMIF('regrets 6'!$G66:$K66, "&gt;0"), 1 / COUNT('regrets 6'!$G66:$K66))</f>
        <v>0.5</v>
      </c>
      <c r="I66" s="61"/>
      <c r="J66" s="61"/>
      <c r="K66" s="90"/>
      <c r="L66" s="60">
        <f>IF(SUMIF('regrets 6'!$L66:$P66, "&gt;0") &gt; 0, MAX('regrets 6'!L66, 0) / SUMIF('regrets 6'!$L66:$P66, "&gt;0"), 1 / COUNT('regrets 6'!$L66:$P66))</f>
        <v>0.5</v>
      </c>
      <c r="M66" s="60">
        <f>IF(SUMIF('regrets 6'!$L66:$P66, "&gt;0") &gt; 0, MAX('regrets 6'!M66, 0) / SUMIF('regrets 6'!$L66:$P66, "&gt;0"), 1 / COUNT('regrets 6'!$L66:$P66))</f>
        <v>0.5</v>
      </c>
      <c r="N66" s="61"/>
      <c r="O66" s="61"/>
      <c r="P66" s="90"/>
      <c r="Q66" s="60">
        <f>IF(SUMIF('regrets 6'!$Q66:$U66, "&gt;0") &gt; 0, MAX('regrets 6'!Q66, 0) / SUMIF('regrets 6'!$Q66:$U66, "&gt;0"), 1 / COUNT('regrets 6'!$Q66:$U66))</f>
        <v>0.5</v>
      </c>
      <c r="R66" s="60">
        <f>IF(SUMIF('regrets 6'!$Q66:$U66, "&gt;0") &gt; 0, MAX('regrets 6'!R66, 0) / SUMIF('regrets 6'!$Q66:$U66, "&gt;0"), 1 / COUNT('regrets 6'!$Q66:$U66))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IF(SUMIF('regrets 6'!$B67:$F67, "&gt;0") &gt; 0, MAX('regrets 6'!B67, 0) / SUMIF('regrets 6'!$B67:$F67, "&gt;0"), 1 / COUNT('regrets 6'!$B67:$F67))</f>
        <v>0.5</v>
      </c>
      <c r="C67" s="61">
        <f>IF(SUMIF('regrets 6'!$B67:$F67, "&gt;0") &gt; 0, MAX('regrets 6'!C67, 0) / SUMIF('regrets 6'!$B67:$F67, "&gt;0"), 1 / COUNT('regrets 6'!$B67:$F67))</f>
        <v>0.5</v>
      </c>
      <c r="D67" s="61"/>
      <c r="E67" s="61"/>
      <c r="F67" s="90"/>
      <c r="G67" s="60">
        <f>IF(SUMIF('regrets 6'!$G67:$K67, "&gt;0") &gt; 0, MAX('regrets 6'!G67, 0) / SUMIF('regrets 6'!$G67:$K67, "&gt;0"), 1 / COUNT('regrets 6'!$G67:$K67))</f>
        <v>0.5</v>
      </c>
      <c r="H67" s="60">
        <f>IF(SUMIF('regrets 6'!$G67:$K67, "&gt;0") &gt; 0, MAX('regrets 6'!H67, 0) / SUMIF('regrets 6'!$G67:$K67, "&gt;0"), 1 / COUNT('regrets 6'!$G67:$K67))</f>
        <v>0.5</v>
      </c>
      <c r="I67" s="61"/>
      <c r="J67" s="61"/>
      <c r="K67" s="90"/>
      <c r="L67" s="60">
        <f>IF(SUMIF('regrets 6'!$L67:$P67, "&gt;0") &gt; 0, MAX('regrets 6'!L67, 0) / SUMIF('regrets 6'!$L67:$P67, "&gt;0"), 1 / COUNT('regrets 6'!$L67:$P67))</f>
        <v>0.5</v>
      </c>
      <c r="M67" s="60">
        <f>IF(SUMIF('regrets 6'!$L67:$P67, "&gt;0") &gt; 0, MAX('regrets 6'!M67, 0) / SUMIF('regrets 6'!$L67:$P67, "&gt;0"), 1 / COUNT('regrets 6'!$L67:$P67))</f>
        <v>0.5</v>
      </c>
      <c r="N67" s="61"/>
      <c r="O67" s="61"/>
      <c r="P67" s="90"/>
      <c r="Q67" s="60">
        <f>IF(SUMIF('regrets 6'!$Q67:$U67, "&gt;0") &gt; 0, MAX('regrets 6'!Q67, 0) / SUMIF('regrets 6'!$Q67:$U67, "&gt;0"), 1 / COUNT('regrets 6'!$Q67:$U67))</f>
        <v>0.5</v>
      </c>
      <c r="R67" s="60">
        <f>IF(SUMIF('regrets 6'!$Q67:$U67, "&gt;0") &gt; 0, MAX('regrets 6'!R67, 0) / SUMIF('regrets 6'!$Q67:$U67, "&gt;0"), 1 / COUNT('regrets 6'!$Q67:$U67))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IF(SUMIF('regrets 6'!$B68:$F68, "&gt;0") &gt; 0, MAX('regrets 6'!B68, 0) / SUMIF('regrets 6'!$B68:$F68, "&gt;0"), 1 / COUNT('regrets 6'!$B68:$F68))</f>
        <v>0.5</v>
      </c>
      <c r="C68" s="61">
        <f>IF(SUMIF('regrets 6'!$B68:$F68, "&gt;0") &gt; 0, MAX('regrets 6'!C68, 0) / SUMIF('regrets 6'!$B68:$F68, "&gt;0"), 1 / COUNT('regrets 6'!$B68:$F68))</f>
        <v>0.5</v>
      </c>
      <c r="D68" s="83"/>
      <c r="E68" s="83"/>
      <c r="F68" s="94"/>
      <c r="G68" s="60">
        <f>IF(SUMIF('regrets 6'!$G68:$K68, "&gt;0") &gt; 0, MAX('regrets 6'!G68, 0) / SUMIF('regrets 6'!$G68:$K68, "&gt;0"), 1 / COUNT('regrets 6'!$G68:$K68))</f>
        <v>0.5</v>
      </c>
      <c r="H68" s="60">
        <f>IF(SUMIF('regrets 6'!$G68:$K68, "&gt;0") &gt; 0, MAX('regrets 6'!H68, 0) / SUMIF('regrets 6'!$G68:$K68, "&gt;0"), 1 / COUNT('regrets 6'!$G68:$K68))</f>
        <v>0.5</v>
      </c>
      <c r="I68" s="83"/>
      <c r="J68" s="83"/>
      <c r="K68" s="94"/>
      <c r="L68" s="60">
        <f>IF(SUMIF('regrets 6'!$L68:$P68, "&gt;0") &gt; 0, MAX('regrets 6'!L68, 0) / SUMIF('regrets 6'!$L68:$P68, "&gt;0"), 1 / COUNT('regrets 6'!$L68:$P68))</f>
        <v>0.5</v>
      </c>
      <c r="M68" s="60">
        <f>IF(SUMIF('regrets 6'!$L68:$P68, "&gt;0") &gt; 0, MAX('regrets 6'!M68, 0) / SUMIF('regrets 6'!$L68:$P68, "&gt;0"), 1 / COUNT('regrets 6'!$L68:$P68))</f>
        <v>0.5</v>
      </c>
      <c r="N68" s="83"/>
      <c r="O68" s="83"/>
      <c r="P68" s="94"/>
      <c r="Q68" s="60">
        <f>IF(SUMIF('regrets 6'!$Q68:$U68, "&gt;0") &gt; 0, MAX('regrets 6'!Q68, 0) / SUMIF('regrets 6'!$Q68:$U68, "&gt;0"), 1 / COUNT('regrets 6'!$Q68:$U68))</f>
        <v>0.5</v>
      </c>
      <c r="R68" s="60">
        <f>IF(SUMIF('regrets 6'!$Q68:$U68, "&gt;0") &gt; 0, MAX('regrets 6'!R68, 0) / SUMIF('regrets 6'!$Q68:$U68, "&gt;0"), 1 / COUNT('regrets 6'!$Q68:$U68))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IF(SUMIF('regrets 6'!$B69:$F69, "&gt;0") &gt; 0, MAX('regrets 6'!C69, 0) / SUMIF('regrets 6'!$B69:$F69, "&gt;0"), 1 / COUNT('regrets 6'!$B69:$F69))</f>
        <v>0.5</v>
      </c>
      <c r="D69" s="68">
        <f>IF(SUMIF('regrets 6'!$B69:$F69, "&gt;0") &gt; 0, MAX('regrets 6'!D69, 0) / SUMIF('regrets 6'!$B69:$F69, "&gt;0"), 1 / COUNT('regrets 6'!$B69:$F69))</f>
        <v>0.5</v>
      </c>
      <c r="E69" s="67"/>
      <c r="F69" s="86"/>
      <c r="G69" s="87"/>
      <c r="H69" s="68">
        <f>IF(SUMIF('regrets 6'!$G69:$K69, "&gt;0") &gt; 0, MAX('regrets 6'!H69, 0) / SUMIF('regrets 6'!$G69:$K69, "&gt;0"), 1 / COUNT('regrets 6'!$G69:$K69))</f>
        <v>0.5</v>
      </c>
      <c r="I69" s="68">
        <f>IF(SUMIF('regrets 6'!$G69:$K69, "&gt;0") &gt; 0, MAX('regrets 6'!I69, 0) / SUMIF('regrets 6'!$G69:$K69, "&gt;0"), 1 / COUNT('regrets 6'!$G69:$K69))</f>
        <v>0.5</v>
      </c>
      <c r="J69" s="67"/>
      <c r="K69" s="86"/>
      <c r="L69" s="87"/>
      <c r="M69" s="68">
        <f>IF(SUMIF('regrets 6'!$L69:$P69, "&gt;0") &gt; 0, MAX('regrets 6'!M69, 0) / SUMIF('regrets 6'!$L69:$P69, "&gt;0"), 1 / COUNT('regrets 6'!$L69:$P69))</f>
        <v>0.5</v>
      </c>
      <c r="N69" s="68">
        <f>IF(SUMIF('regrets 6'!$L69:$P69, "&gt;0") &gt; 0, MAX('regrets 6'!N69, 0) / SUMIF('regrets 6'!$L69:$P69, "&gt;0"), 1 / COUNT('regrets 6'!$L69:$P69))</f>
        <v>0.5</v>
      </c>
      <c r="O69" s="67"/>
      <c r="P69" s="86"/>
      <c r="Q69" s="87"/>
      <c r="R69" s="68">
        <f>IF(SUMIF('regrets 6'!$Q69:$U69, "&gt;0") &gt; 0, MAX('regrets 6'!R69, 0) / SUMIF('regrets 6'!$Q69:$U69, "&gt;0"), 1 / COUNT('regrets 6'!$Q69:$U69))</f>
        <v>0.5</v>
      </c>
      <c r="S69" s="68">
        <f>IF(SUMIF('regrets 6'!$Q69:$U69, "&gt;0") &gt; 0, MAX('regrets 6'!S69, 0) / SUMIF('regrets 6'!$Q69:$U69, "&gt;0"), 1 / COUNT('regrets 6'!$Q69:$U69))</f>
        <v>0.5</v>
      </c>
      <c r="T69" s="67"/>
      <c r="U69" s="86"/>
    </row>
    <row r="70" spans="1:21" ht="20" customHeight="1" x14ac:dyDescent="0.15">
      <c r="A70" s="12">
        <v>1</v>
      </c>
      <c r="B70" s="61">
        <f>IF(SUMIF('regrets 6'!$B70:$F70, "&gt;0") &gt; 0, MAX('regrets 6'!B70, 0) / SUMIF('regrets 6'!$B70:$F70, "&gt;0"), 1 / COUNT('regrets 6'!$B70:$F70))</f>
        <v>0.5</v>
      </c>
      <c r="C70" s="61">
        <f>IF(SUMIF('regrets 6'!$B70:$F70, "&gt;0") &gt; 0, MAX('regrets 6'!C70, 0) / SUMIF('regrets 6'!$B70:$F70, "&gt;0"), 1 / COUNT('regrets 6'!$B70:$F70))</f>
        <v>0.5</v>
      </c>
      <c r="D70" s="61"/>
      <c r="E70" s="62"/>
      <c r="F70" s="90"/>
      <c r="G70" s="60">
        <f>IF(SUMIF('regrets 6'!$G70:$K70, "&gt;0") &gt; 0, MAX('regrets 6'!G70, 0) / SUMIF('regrets 6'!$G70:$K70, "&gt;0"), 1 / COUNT('regrets 6'!$G70:$K70))</f>
        <v>0.5</v>
      </c>
      <c r="H70" s="60">
        <f>IF(SUMIF('regrets 6'!$G70:$K70, "&gt;0") &gt; 0, MAX('regrets 6'!H70, 0) / SUMIF('regrets 6'!$G70:$K70, "&gt;0"), 1 / COUNT('regrets 6'!$G70:$K70))</f>
        <v>0.5</v>
      </c>
      <c r="I70" s="61"/>
      <c r="J70" s="62"/>
      <c r="K70" s="90"/>
      <c r="L70" s="60">
        <f>IF(SUMIF('regrets 6'!$L70:$P70, "&gt;0") &gt; 0, MAX('regrets 6'!L70, 0) / SUMIF('regrets 6'!$L70:$P70, "&gt;0"), 1 / COUNT('regrets 6'!$L70:$P70))</f>
        <v>0.5</v>
      </c>
      <c r="M70" s="60">
        <f>IF(SUMIF('regrets 6'!$L70:$P70, "&gt;0") &gt; 0, MAX('regrets 6'!M70, 0) / SUMIF('regrets 6'!$L70:$P70, "&gt;0"), 1 / COUNT('regrets 6'!$L70:$P70))</f>
        <v>0.5</v>
      </c>
      <c r="N70" s="61"/>
      <c r="O70" s="62"/>
      <c r="P70" s="90"/>
      <c r="Q70" s="60">
        <f>IF(SUMIF('regrets 6'!$Q70:$U70, "&gt;0") &gt; 0, MAX('regrets 6'!Q70, 0) / SUMIF('regrets 6'!$Q70:$U70, "&gt;0"), 1 / COUNT('regrets 6'!$Q70:$U70))</f>
        <v>0.5</v>
      </c>
      <c r="R70" s="60">
        <f>IF(SUMIF('regrets 6'!$Q70:$U70, "&gt;0") &gt; 0, MAX('regrets 6'!R70, 0) / SUMIF('regrets 6'!$Q70:$U70, "&gt;0"), 1 / COUNT('regrets 6'!$Q70:$U70))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IF(SUMIF('regrets 6'!$B71:$F71, "&gt;0") &gt; 0, MAX('regrets 6'!C71, 0) / SUMIF('regrets 6'!$B71:$F71, "&gt;0"), 1 / COUNT('regrets 6'!$B71:$F71))</f>
        <v>0.5</v>
      </c>
      <c r="D71" s="61">
        <f>IF(SUMIF('regrets 6'!$B71:$F71, "&gt;0") &gt; 0, MAX('regrets 6'!D71, 0) / SUMIF('regrets 6'!$B71:$F71, "&gt;0"), 1 / COUNT('regrets 6'!$B71:$F71))</f>
        <v>0.5</v>
      </c>
      <c r="E71" s="62"/>
      <c r="F71" s="90"/>
      <c r="G71" s="60"/>
      <c r="H71" s="60">
        <f>IF(SUMIF('regrets 6'!$G71:$K71, "&gt;0") &gt; 0, MAX('regrets 6'!H71, 0) / SUMIF('regrets 6'!$G71:$K71, "&gt;0"), 1 / COUNT('regrets 6'!$G71:$K71))</f>
        <v>0.5</v>
      </c>
      <c r="I71" s="60">
        <f>IF(SUMIF('regrets 6'!$G71:$K71, "&gt;0") &gt; 0, MAX('regrets 6'!I71, 0) / SUMIF('regrets 6'!$G71:$K71, "&gt;0"), 1 / COUNT('regrets 6'!$G71:$K71))</f>
        <v>0.5</v>
      </c>
      <c r="J71" s="62"/>
      <c r="K71" s="90"/>
      <c r="L71" s="60"/>
      <c r="M71" s="60">
        <f>IF(SUMIF('regrets 6'!$L71:$P71, "&gt;0") &gt; 0, MAX('regrets 6'!M71, 0) / SUMIF('regrets 6'!$L71:$P71, "&gt;0"), 1 / COUNT('regrets 6'!$L71:$P71))</f>
        <v>0.5</v>
      </c>
      <c r="N71" s="60">
        <f>IF(SUMIF('regrets 6'!$L71:$P71, "&gt;0") &gt; 0, MAX('regrets 6'!N71, 0) / SUMIF('regrets 6'!$L71:$P71, "&gt;0"), 1 / COUNT('regrets 6'!$L71:$P71))</f>
        <v>0.5</v>
      </c>
      <c r="O71" s="62"/>
      <c r="P71" s="90"/>
      <c r="Q71" s="60"/>
      <c r="R71" s="60">
        <f>IF(SUMIF('regrets 6'!$Q71:$U71, "&gt;0") &gt; 0, MAX('regrets 6'!R71, 0) / SUMIF('regrets 6'!$Q71:$U71, "&gt;0"), 1 / COUNT('regrets 6'!$Q71:$U71))</f>
        <v>0.5</v>
      </c>
      <c r="S71" s="60">
        <f>IF(SUMIF('regrets 6'!$Q71:$U71, "&gt;0") &gt; 0, MAX('regrets 6'!S71, 0) / SUMIF('regrets 6'!$Q71:$U71, "&gt;0"), 1 / COUNT('regrets 6'!$Q71:$U71))</f>
        <v>0.5</v>
      </c>
      <c r="T71" s="62"/>
      <c r="U71" s="90"/>
    </row>
    <row r="72" spans="1:21" ht="20" customHeight="1" x14ac:dyDescent="0.15">
      <c r="A72" s="12">
        <v>3</v>
      </c>
      <c r="B72" s="61">
        <f>IF(SUMIF('regrets 6'!$B72:$F72, "&gt;0") &gt; 0, MAX('regrets 6'!B72, 0) / SUMIF('regrets 6'!$B72:$F72, "&gt;0"), 1 / COUNT('regrets 6'!$B72:$F72))</f>
        <v>0.5</v>
      </c>
      <c r="C72" s="61">
        <f>IF(SUMIF('regrets 6'!$B72:$F72, "&gt;0") &gt; 0, MAX('regrets 6'!C72, 0) / SUMIF('regrets 6'!$B72:$F72, "&gt;0"), 1 / COUNT('regrets 6'!$B72:$F72))</f>
        <v>0.5</v>
      </c>
      <c r="D72" s="61"/>
      <c r="E72" s="62"/>
      <c r="F72" s="90"/>
      <c r="G72" s="60">
        <f>IF(SUMIF('regrets 6'!$G72:$K72, "&gt;0") &gt; 0, MAX('regrets 6'!G72, 0) / SUMIF('regrets 6'!$G72:$K72, "&gt;0"), 1 / COUNT('regrets 6'!$G72:$K72))</f>
        <v>0.5</v>
      </c>
      <c r="H72" s="60">
        <f>IF(SUMIF('regrets 6'!$G72:$K72, "&gt;0") &gt; 0, MAX('regrets 6'!H72, 0) / SUMIF('regrets 6'!$G72:$K72, "&gt;0"), 1 / COUNT('regrets 6'!$G72:$K72))</f>
        <v>0.5</v>
      </c>
      <c r="I72" s="61"/>
      <c r="J72" s="62"/>
      <c r="K72" s="90"/>
      <c r="L72" s="60">
        <f>IF(SUMIF('regrets 6'!$L72:$P72, "&gt;0") &gt; 0, MAX('regrets 6'!L72, 0) / SUMIF('regrets 6'!$L72:$P72, "&gt;0"), 1 / COUNT('regrets 6'!$L72:$P72))</f>
        <v>0.5</v>
      </c>
      <c r="M72" s="60">
        <f>IF(SUMIF('regrets 6'!$L72:$P72, "&gt;0") &gt; 0, MAX('regrets 6'!M72, 0) / SUMIF('regrets 6'!$L72:$P72, "&gt;0"), 1 / COUNT('regrets 6'!$L72:$P72))</f>
        <v>0.5</v>
      </c>
      <c r="N72" s="61"/>
      <c r="O72" s="62"/>
      <c r="P72" s="90"/>
      <c r="Q72" s="60">
        <f>IF(SUMIF('regrets 6'!$Q72:$U72, "&gt;0") &gt; 0, MAX('regrets 6'!Q72, 0) / SUMIF('regrets 6'!$Q72:$U72, "&gt;0"), 1 / COUNT('regrets 6'!$Q72:$U72))</f>
        <v>0.5</v>
      </c>
      <c r="R72" s="60">
        <f>IF(SUMIF('regrets 6'!$Q72:$U72, "&gt;0") &gt; 0, MAX('regrets 6'!R72, 0) / SUMIF('regrets 6'!$Q72:$U72, "&gt;0"), 1 / COUNT('regrets 6'!$Q72:$U72))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IF(SUMIF('regrets 6'!$B73:$F73, "&gt;0") &gt; 0, MAX('regrets 6'!C73, 0) / SUMIF('regrets 6'!$B73:$F73, "&gt;0"), 1 / COUNT('regrets 6'!$B73:$F73))</f>
        <v>0.5</v>
      </c>
      <c r="D73" s="61">
        <f>IF(SUMIF('regrets 6'!$B73:$F73, "&gt;0") &gt; 0, MAX('regrets 6'!D73, 0) / SUMIF('regrets 6'!$B73:$F73, "&gt;0"), 1 / COUNT('regrets 6'!$B73:$F73))</f>
        <v>0.5</v>
      </c>
      <c r="E73" s="62"/>
      <c r="F73" s="90"/>
      <c r="G73" s="60"/>
      <c r="H73" s="60">
        <f>IF(SUMIF('regrets 6'!$G73:$K73, "&gt;0") &gt; 0, MAX('regrets 6'!H73, 0) / SUMIF('regrets 6'!$G73:$K73, "&gt;0"), 1 / COUNT('regrets 6'!$G73:$K73))</f>
        <v>0.5</v>
      </c>
      <c r="I73" s="60">
        <f>IF(SUMIF('regrets 6'!$G73:$K73, "&gt;0") &gt; 0, MAX('regrets 6'!I73, 0) / SUMIF('regrets 6'!$G73:$K73, "&gt;0"), 1 / COUNT('regrets 6'!$G73:$K73))</f>
        <v>0.5</v>
      </c>
      <c r="J73" s="62"/>
      <c r="K73" s="90"/>
      <c r="L73" s="60"/>
      <c r="M73" s="60">
        <f>IF(SUMIF('regrets 6'!$L73:$P73, "&gt;0") &gt; 0, MAX('regrets 6'!M73, 0) / SUMIF('regrets 6'!$L73:$P73, "&gt;0"), 1 / COUNT('regrets 6'!$L73:$P73))</f>
        <v>0.5</v>
      </c>
      <c r="N73" s="60">
        <f>IF(SUMIF('regrets 6'!$L73:$P73, "&gt;0") &gt; 0, MAX('regrets 6'!N73, 0) / SUMIF('regrets 6'!$L73:$P73, "&gt;0"), 1 / COUNT('regrets 6'!$L73:$P73))</f>
        <v>0.5</v>
      </c>
      <c r="O73" s="62"/>
      <c r="P73" s="90"/>
      <c r="Q73" s="60"/>
      <c r="R73" s="60">
        <f>IF(SUMIF('regrets 6'!$Q73:$U73, "&gt;0") &gt; 0, MAX('regrets 6'!R73, 0) / SUMIF('regrets 6'!$Q73:$U73, "&gt;0"), 1 / COUNT('regrets 6'!$Q73:$U73))</f>
        <v>0.5</v>
      </c>
      <c r="S73" s="60">
        <f>IF(SUMIF('regrets 6'!$Q73:$U73, "&gt;0") &gt; 0, MAX('regrets 6'!S73, 0) / SUMIF('regrets 6'!$Q73:$U73, "&gt;0"), 1 / COUNT('regrets 6'!$Q73:$U73))</f>
        <v>0.5</v>
      </c>
      <c r="T73" s="62"/>
      <c r="U73" s="90"/>
    </row>
    <row r="74" spans="1:21" ht="20" customHeight="1" x14ac:dyDescent="0.15">
      <c r="A74" s="12">
        <v>5</v>
      </c>
      <c r="B74" s="61">
        <f>IF(SUMIF('regrets 6'!$B74:$F74, "&gt;0") &gt; 0, MAX('regrets 6'!B74, 0) / SUMIF('regrets 6'!$B74:$F74, "&gt;0"), 1 / COUNT('regrets 6'!$B74:$F74))</f>
        <v>0.5</v>
      </c>
      <c r="C74" s="61">
        <f>IF(SUMIF('regrets 6'!$B74:$F74, "&gt;0") &gt; 0, MAX('regrets 6'!C74, 0) / SUMIF('regrets 6'!$B74:$F74, "&gt;0"), 1 / COUNT('regrets 6'!$B74:$F74))</f>
        <v>0.5</v>
      </c>
      <c r="D74" s="61"/>
      <c r="E74" s="62"/>
      <c r="F74" s="90"/>
      <c r="G74" s="60">
        <f>IF(SUMIF('regrets 6'!$G74:$K74, "&gt;0") &gt; 0, MAX('regrets 6'!G74, 0) / SUMIF('regrets 6'!$G74:$K74, "&gt;0"), 1 / COUNT('regrets 6'!$G74:$K74))</f>
        <v>0.5</v>
      </c>
      <c r="H74" s="60">
        <f>IF(SUMIF('regrets 6'!$G74:$K74, "&gt;0") &gt; 0, MAX('regrets 6'!H74, 0) / SUMIF('regrets 6'!$G74:$K74, "&gt;0"), 1 / COUNT('regrets 6'!$G74:$K74))</f>
        <v>0.5</v>
      </c>
      <c r="I74" s="61"/>
      <c r="J74" s="62"/>
      <c r="K74" s="90"/>
      <c r="L74" s="60">
        <f>IF(SUMIF('regrets 6'!$L74:$P74, "&gt;0") &gt; 0, MAX('regrets 6'!L74, 0) / SUMIF('regrets 6'!$L74:$P74, "&gt;0"), 1 / COUNT('regrets 6'!$L74:$P74))</f>
        <v>0.5</v>
      </c>
      <c r="M74" s="60">
        <f>IF(SUMIF('regrets 6'!$L74:$P74, "&gt;0") &gt; 0, MAX('regrets 6'!M74, 0) / SUMIF('regrets 6'!$L74:$P74, "&gt;0"), 1 / COUNT('regrets 6'!$L74:$P74))</f>
        <v>0.5</v>
      </c>
      <c r="N74" s="61"/>
      <c r="O74" s="62"/>
      <c r="P74" s="90"/>
      <c r="Q74" s="60">
        <f>IF(SUMIF('regrets 6'!$Q74:$U74, "&gt;0") &gt; 0, MAX('regrets 6'!Q74, 0) / SUMIF('regrets 6'!$Q74:$U74, "&gt;0"), 1 / COUNT('regrets 6'!$Q74:$U74))</f>
        <v>0.5</v>
      </c>
      <c r="R74" s="60">
        <f>IF(SUMIF('regrets 6'!$Q74:$U74, "&gt;0") &gt; 0, MAX('regrets 6'!R74, 0) / SUMIF('regrets 6'!$Q74:$U74, "&gt;0"), 1 / COUNT('regrets 6'!$Q74:$U74))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IF(SUMIF('regrets 6'!$B75:$F75, "&gt;0") &gt; 0, MAX('regrets 6'!C75, 0) / SUMIF('regrets 6'!$B75:$F75, "&gt;0"), 1 / COUNT('regrets 6'!$B75:$F75))</f>
        <v>0.5</v>
      </c>
      <c r="D75" s="61">
        <f>IF(SUMIF('regrets 6'!$B75:$F75, "&gt;0") &gt; 0, MAX('regrets 6'!D75, 0) / SUMIF('regrets 6'!$B75:$F75, "&gt;0"), 1 / COUNT('regrets 6'!$B75:$F75))</f>
        <v>0.5</v>
      </c>
      <c r="E75" s="62"/>
      <c r="F75" s="90"/>
      <c r="G75" s="60"/>
      <c r="H75" s="60">
        <f>IF(SUMIF('regrets 6'!$G75:$K75, "&gt;0") &gt; 0, MAX('regrets 6'!H75, 0) / SUMIF('regrets 6'!$G75:$K75, "&gt;0"), 1 / COUNT('regrets 6'!$G75:$K75))</f>
        <v>0.5</v>
      </c>
      <c r="I75" s="60">
        <f>IF(SUMIF('regrets 6'!$G75:$K75, "&gt;0") &gt; 0, MAX('regrets 6'!I75, 0) / SUMIF('regrets 6'!$G75:$K75, "&gt;0"), 1 / COUNT('regrets 6'!$G75:$K75))</f>
        <v>0.5</v>
      </c>
      <c r="J75" s="62"/>
      <c r="K75" s="90"/>
      <c r="L75" s="60"/>
      <c r="M75" s="60">
        <f>IF(SUMIF('regrets 6'!$L75:$P75, "&gt;0") &gt; 0, MAX('regrets 6'!M75, 0) / SUMIF('regrets 6'!$L75:$P75, "&gt;0"), 1 / COUNT('regrets 6'!$L75:$P75))</f>
        <v>0.5</v>
      </c>
      <c r="N75" s="60">
        <f>IF(SUMIF('regrets 6'!$L75:$P75, "&gt;0") &gt; 0, MAX('regrets 6'!N75, 0) / SUMIF('regrets 6'!$L75:$P75, "&gt;0"), 1 / COUNT('regrets 6'!$L75:$P75))</f>
        <v>0.5</v>
      </c>
      <c r="O75" s="62"/>
      <c r="P75" s="90"/>
      <c r="Q75" s="60"/>
      <c r="R75" s="60">
        <f>IF(SUMIF('regrets 6'!$Q75:$U75, "&gt;0") &gt; 0, MAX('regrets 6'!R75, 0) / SUMIF('regrets 6'!$Q75:$U75, "&gt;0"), 1 / COUNT('regrets 6'!$Q75:$U75))</f>
        <v>0.5</v>
      </c>
      <c r="S75" s="60">
        <f>IF(SUMIF('regrets 6'!$Q75:$U75, "&gt;0") &gt; 0, MAX('regrets 6'!S75, 0) / SUMIF('regrets 6'!$Q75:$U75, "&gt;0"), 1 / COUNT('regrets 6'!$Q75:$U75))</f>
        <v>0.5</v>
      </c>
      <c r="T75" s="62"/>
      <c r="U75" s="90"/>
    </row>
    <row r="76" spans="1:21" ht="20" customHeight="1" x14ac:dyDescent="0.15">
      <c r="A76" s="12">
        <v>7</v>
      </c>
      <c r="B76" s="61">
        <f>IF(SUMIF('regrets 6'!$B76:$F76, "&gt;0") &gt; 0, MAX('regrets 6'!B76, 0) / SUMIF('regrets 6'!$B76:$F76, "&gt;0"), 1 / COUNT('regrets 6'!$B76:$F76))</f>
        <v>0.5</v>
      </c>
      <c r="C76" s="61">
        <f>IF(SUMIF('regrets 6'!$B76:$F76, "&gt;0") &gt; 0, MAX('regrets 6'!C76, 0) / SUMIF('regrets 6'!$B76:$F76, "&gt;0"), 1 / COUNT('regrets 6'!$B76:$F76))</f>
        <v>0.5</v>
      </c>
      <c r="D76" s="61"/>
      <c r="E76" s="62"/>
      <c r="F76" s="90"/>
      <c r="G76" s="60">
        <f>IF(SUMIF('regrets 6'!$G76:$K76, "&gt;0") &gt; 0, MAX('regrets 6'!G76, 0) / SUMIF('regrets 6'!$G76:$K76, "&gt;0"), 1 / COUNT('regrets 6'!$G76:$K76))</f>
        <v>0.5</v>
      </c>
      <c r="H76" s="60">
        <f>IF(SUMIF('regrets 6'!$G76:$K76, "&gt;0") &gt; 0, MAX('regrets 6'!H76, 0) / SUMIF('regrets 6'!$G76:$K76, "&gt;0"), 1 / COUNT('regrets 6'!$G76:$K76))</f>
        <v>0.5</v>
      </c>
      <c r="I76" s="61"/>
      <c r="J76" s="62"/>
      <c r="K76" s="90"/>
      <c r="L76" s="60">
        <f>IF(SUMIF('regrets 6'!$L76:$P76, "&gt;0") &gt; 0, MAX('regrets 6'!L76, 0) / SUMIF('regrets 6'!$L76:$P76, "&gt;0"), 1 / COUNT('regrets 6'!$L76:$P76))</f>
        <v>0.5</v>
      </c>
      <c r="M76" s="60">
        <f>IF(SUMIF('regrets 6'!$L76:$P76, "&gt;0") &gt; 0, MAX('regrets 6'!M76, 0) / SUMIF('regrets 6'!$L76:$P76, "&gt;0"), 1 / COUNT('regrets 6'!$L76:$P76))</f>
        <v>0.5</v>
      </c>
      <c r="N76" s="61"/>
      <c r="O76" s="62"/>
      <c r="P76" s="90"/>
      <c r="Q76" s="60">
        <f>IF(SUMIF('regrets 6'!$Q76:$U76, "&gt;0") &gt; 0, MAX('regrets 6'!Q76, 0) / SUMIF('regrets 6'!$Q76:$U76, "&gt;0"), 1 / COUNT('regrets 6'!$Q76:$U76))</f>
        <v>0.5</v>
      </c>
      <c r="R76" s="60">
        <f>IF(SUMIF('regrets 6'!$Q76:$U76, "&gt;0") &gt; 0, MAX('regrets 6'!R76, 0) / SUMIF('regrets 6'!$Q76:$U76, "&gt;0"), 1 / COUNT('regrets 6'!$Q76:$U76))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IF(SUMIF('regrets 6'!$B77:$F77, "&gt;0") &gt; 0, MAX('regrets 6'!C77, 0) / SUMIF('regrets 6'!$B77:$F77, "&gt;0"), 1 / COUNT('regrets 6'!$B77:$F77))</f>
        <v>0.5</v>
      </c>
      <c r="D77" s="61">
        <f>IF(SUMIF('regrets 6'!$B77:$F77, "&gt;0") &gt; 0, MAX('regrets 6'!D77, 0) / SUMIF('regrets 6'!$B77:$F77, "&gt;0"), 1 / COUNT('regrets 6'!$B77:$F77))</f>
        <v>0.5</v>
      </c>
      <c r="E77" s="62"/>
      <c r="F77" s="90"/>
      <c r="G77" s="60"/>
      <c r="H77" s="60">
        <f>IF(SUMIF('regrets 6'!$G77:$K77, "&gt;0") &gt; 0, MAX('regrets 6'!H77, 0) / SUMIF('regrets 6'!$G77:$K77, "&gt;0"), 1 / COUNT('regrets 6'!$G77:$K77))</f>
        <v>0.5</v>
      </c>
      <c r="I77" s="60">
        <f>IF(SUMIF('regrets 6'!$G77:$K77, "&gt;0") &gt; 0, MAX('regrets 6'!I77, 0) / SUMIF('regrets 6'!$G77:$K77, "&gt;0"), 1 / COUNT('regrets 6'!$G77:$K77))</f>
        <v>0.5</v>
      </c>
      <c r="J77" s="62"/>
      <c r="K77" s="90"/>
      <c r="L77" s="60"/>
      <c r="M77" s="60">
        <f>IF(SUMIF('regrets 6'!$L77:$P77, "&gt;0") &gt; 0, MAX('regrets 6'!M77, 0) / SUMIF('regrets 6'!$L77:$P77, "&gt;0"), 1 / COUNT('regrets 6'!$L77:$P77))</f>
        <v>0.5</v>
      </c>
      <c r="N77" s="60">
        <f>IF(SUMIF('regrets 6'!$L77:$P77, "&gt;0") &gt; 0, MAX('regrets 6'!N77, 0) / SUMIF('regrets 6'!$L77:$P77, "&gt;0"), 1 / COUNT('regrets 6'!$L77:$P77))</f>
        <v>0.5</v>
      </c>
      <c r="O77" s="62"/>
      <c r="P77" s="90"/>
      <c r="Q77" s="60"/>
      <c r="R77" s="60">
        <f>IF(SUMIF('regrets 6'!$Q77:$U77, "&gt;0") &gt; 0, MAX('regrets 6'!R77, 0) / SUMIF('regrets 6'!$Q77:$U77, "&gt;0"), 1 / COUNT('regrets 6'!$Q77:$U77))</f>
        <v>0.5</v>
      </c>
      <c r="S77" s="60">
        <f>IF(SUMIF('regrets 6'!$Q77:$U77, "&gt;0") &gt; 0, MAX('regrets 6'!S77, 0) / SUMIF('regrets 6'!$Q77:$U77, "&gt;0"), 1 / COUNT('regrets 6'!$Q77:$U77))</f>
        <v>0.5</v>
      </c>
      <c r="T77" s="62"/>
      <c r="U77" s="90"/>
    </row>
    <row r="78" spans="1:21" ht="20" customHeight="1" x14ac:dyDescent="0.15">
      <c r="A78" s="12">
        <v>9</v>
      </c>
      <c r="B78" s="61">
        <f>IF(SUMIF('regrets 6'!$B78:$F78, "&gt;0") &gt; 0, MAX('regrets 6'!B78, 0) / SUMIF('regrets 6'!$B78:$F78, "&gt;0"), 1 / COUNT('regrets 6'!$B78:$F78))</f>
        <v>0.5</v>
      </c>
      <c r="C78" s="61">
        <f>IF(SUMIF('regrets 6'!$B78:$F78, "&gt;0") &gt; 0, MAX('regrets 6'!C78, 0) / SUMIF('regrets 6'!$B78:$F78, "&gt;0"), 1 / COUNT('regrets 6'!$B78:$F78))</f>
        <v>0.5</v>
      </c>
      <c r="D78" s="61"/>
      <c r="E78" s="62"/>
      <c r="F78" s="90"/>
      <c r="G78" s="60">
        <f>IF(SUMIF('regrets 6'!$G78:$K78, "&gt;0") &gt; 0, MAX('regrets 6'!G78, 0) / SUMIF('regrets 6'!$G78:$K78, "&gt;0"), 1 / COUNT('regrets 6'!$G78:$K78))</f>
        <v>0.5</v>
      </c>
      <c r="H78" s="60">
        <f>IF(SUMIF('regrets 6'!$G78:$K78, "&gt;0") &gt; 0, MAX('regrets 6'!H78, 0) / SUMIF('regrets 6'!$G78:$K78, "&gt;0"), 1 / COUNT('regrets 6'!$G78:$K78))</f>
        <v>0.5</v>
      </c>
      <c r="I78" s="61"/>
      <c r="J78" s="62"/>
      <c r="K78" s="90"/>
      <c r="L78" s="60">
        <f>IF(SUMIF('regrets 6'!$L78:$P78, "&gt;0") &gt; 0, MAX('regrets 6'!L78, 0) / SUMIF('regrets 6'!$L78:$P78, "&gt;0"), 1 / COUNT('regrets 6'!$L78:$P78))</f>
        <v>0.5</v>
      </c>
      <c r="M78" s="60">
        <f>IF(SUMIF('regrets 6'!$L78:$P78, "&gt;0") &gt; 0, MAX('regrets 6'!M78, 0) / SUMIF('regrets 6'!$L78:$P78, "&gt;0"), 1 / COUNT('regrets 6'!$L78:$P78))</f>
        <v>0.5</v>
      </c>
      <c r="N78" s="61"/>
      <c r="O78" s="62"/>
      <c r="P78" s="90"/>
      <c r="Q78" s="60">
        <f>IF(SUMIF('regrets 6'!$Q78:$U78, "&gt;0") &gt; 0, MAX('regrets 6'!Q78, 0) / SUMIF('regrets 6'!$Q78:$U78, "&gt;0"), 1 / COUNT('regrets 6'!$Q78:$U78))</f>
        <v>0.5</v>
      </c>
      <c r="R78" s="60">
        <f>IF(SUMIF('regrets 6'!$Q78:$U78, "&gt;0") &gt; 0, MAX('regrets 6'!R78, 0) / SUMIF('regrets 6'!$Q78:$U78, "&gt;0"), 1 / COUNT('regrets 6'!$Q78:$U78))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IF(SUMIF('regrets 6'!$B79:$F79, "&gt;0") &gt; 0, MAX('regrets 6'!C79, 0) / SUMIF('regrets 6'!$B79:$F79, "&gt;0"), 1 / COUNT('regrets 6'!$B79:$F79))</f>
        <v>0.5</v>
      </c>
      <c r="D79" s="61">
        <f>IF(SUMIF('regrets 6'!$B79:$F79, "&gt;0") &gt; 0, MAX('regrets 6'!D79, 0) / SUMIF('regrets 6'!$B79:$F79, "&gt;0"), 1 / COUNT('regrets 6'!$B79:$F79))</f>
        <v>0.5</v>
      </c>
      <c r="E79" s="62"/>
      <c r="F79" s="90"/>
      <c r="G79" s="60"/>
      <c r="H79" s="60">
        <f>IF(SUMIF('regrets 6'!$G79:$K79, "&gt;0") &gt; 0, MAX('regrets 6'!H79, 0) / SUMIF('regrets 6'!$G79:$K79, "&gt;0"), 1 / COUNT('regrets 6'!$G79:$K79))</f>
        <v>0.5</v>
      </c>
      <c r="I79" s="60">
        <f>IF(SUMIF('regrets 6'!$G79:$K79, "&gt;0") &gt; 0, MAX('regrets 6'!I79, 0) / SUMIF('regrets 6'!$G79:$K79, "&gt;0"), 1 / COUNT('regrets 6'!$G79:$K79))</f>
        <v>0.5</v>
      </c>
      <c r="J79" s="62"/>
      <c r="K79" s="90"/>
      <c r="L79" s="60"/>
      <c r="M79" s="60">
        <f>IF(SUMIF('regrets 6'!$L79:$P79, "&gt;0") &gt; 0, MAX('regrets 6'!M79, 0) / SUMIF('regrets 6'!$L79:$P79, "&gt;0"), 1 / COUNT('regrets 6'!$L79:$P79))</f>
        <v>0.5</v>
      </c>
      <c r="N79" s="60">
        <f>IF(SUMIF('regrets 6'!$L79:$P79, "&gt;0") &gt; 0, MAX('regrets 6'!N79, 0) / SUMIF('regrets 6'!$L79:$P79, "&gt;0"), 1 / COUNT('regrets 6'!$L79:$P79))</f>
        <v>0.5</v>
      </c>
      <c r="O79" s="62"/>
      <c r="P79" s="90"/>
      <c r="Q79" s="60"/>
      <c r="R79" s="60">
        <f>IF(SUMIF('regrets 6'!$Q79:$U79, "&gt;0") &gt; 0, MAX('regrets 6'!R79, 0) / SUMIF('regrets 6'!$Q79:$U79, "&gt;0"), 1 / COUNT('regrets 6'!$Q79:$U79))</f>
        <v>0.5</v>
      </c>
      <c r="S79" s="60">
        <f>IF(SUMIF('regrets 6'!$Q79:$U79, "&gt;0") &gt; 0, MAX('regrets 6'!S79, 0) / SUMIF('regrets 6'!$Q79:$U79, "&gt;0"), 1 / COUNT('regrets 6'!$Q79:$U79))</f>
        <v>0.5</v>
      </c>
      <c r="T79" s="62"/>
      <c r="U79" s="90"/>
    </row>
    <row r="80" spans="1:21" ht="20" customHeight="1" x14ac:dyDescent="0.15">
      <c r="A80" s="12">
        <v>11</v>
      </c>
      <c r="B80" s="61">
        <f>IF(SUMIF('regrets 6'!$B80:$F80, "&gt;0") &gt; 0, MAX('regrets 6'!B80, 0) / SUMIF('regrets 6'!$B80:$F80, "&gt;0"), 1 / COUNT('regrets 6'!$B80:$F80))</f>
        <v>0.5</v>
      </c>
      <c r="C80" s="61">
        <f>IF(SUMIF('regrets 6'!$B80:$F80, "&gt;0") &gt; 0, MAX('regrets 6'!C80, 0) / SUMIF('regrets 6'!$B80:$F80, "&gt;0"), 1 / COUNT('regrets 6'!$B80:$F80))</f>
        <v>0.5</v>
      </c>
      <c r="D80" s="61"/>
      <c r="E80" s="62"/>
      <c r="F80" s="90"/>
      <c r="G80" s="60">
        <f>IF(SUMIF('regrets 6'!$G80:$K80, "&gt;0") &gt; 0, MAX('regrets 6'!G80, 0) / SUMIF('regrets 6'!$G80:$K80, "&gt;0"), 1 / COUNT('regrets 6'!$G80:$K80))</f>
        <v>0.5</v>
      </c>
      <c r="H80" s="60">
        <f>IF(SUMIF('regrets 6'!$G80:$K80, "&gt;0") &gt; 0, MAX('regrets 6'!H80, 0) / SUMIF('regrets 6'!$G80:$K80, "&gt;0"), 1 / COUNT('regrets 6'!$G80:$K80))</f>
        <v>0.5</v>
      </c>
      <c r="I80" s="61"/>
      <c r="J80" s="62"/>
      <c r="K80" s="90"/>
      <c r="L80" s="60">
        <f>IF(SUMIF('regrets 6'!$L80:$P80, "&gt;0") &gt; 0, MAX('regrets 6'!L80, 0) / SUMIF('regrets 6'!$L80:$P80, "&gt;0"), 1 / COUNT('regrets 6'!$L80:$P80))</f>
        <v>0.5</v>
      </c>
      <c r="M80" s="60">
        <f>IF(SUMIF('regrets 6'!$L80:$P80, "&gt;0") &gt; 0, MAX('regrets 6'!M80, 0) / SUMIF('regrets 6'!$L80:$P80, "&gt;0"), 1 / COUNT('regrets 6'!$L80:$P80))</f>
        <v>0.5</v>
      </c>
      <c r="N80" s="61"/>
      <c r="O80" s="62"/>
      <c r="P80" s="90"/>
      <c r="Q80" s="60">
        <f>IF(SUMIF('regrets 6'!$Q80:$U80, "&gt;0") &gt; 0, MAX('regrets 6'!Q80, 0) / SUMIF('regrets 6'!$Q80:$U80, "&gt;0"), 1 / COUNT('regrets 6'!$Q80:$U80))</f>
        <v>0.5</v>
      </c>
      <c r="R80" s="60">
        <f>IF(SUMIF('regrets 6'!$Q80:$U80, "&gt;0") &gt; 0, MAX('regrets 6'!R80, 0) / SUMIF('regrets 6'!$Q80:$U80, "&gt;0"), 1 / COUNT('regrets 6'!$Q80:$U80))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IF(SUMIF('regrets 6'!$B81:$F81, "&gt;0") &gt; 0, MAX('regrets 6'!C81, 0) / SUMIF('regrets 6'!$B81:$F81, "&gt;0"), 1 / COUNT('regrets 6'!$B81:$F81))</f>
        <v>0.5</v>
      </c>
      <c r="D81" s="61">
        <f>IF(SUMIF('regrets 6'!$B81:$F81, "&gt;0") &gt; 0, MAX('regrets 6'!D81, 0) / SUMIF('regrets 6'!$B81:$F81, "&gt;0"), 1 / COUNT('regrets 6'!$B81:$F81))</f>
        <v>0.5</v>
      </c>
      <c r="E81" s="62"/>
      <c r="F81" s="90"/>
      <c r="G81" s="60"/>
      <c r="H81" s="60">
        <f>IF(SUMIF('regrets 6'!$G81:$K81, "&gt;0") &gt; 0, MAX('regrets 6'!H81, 0) / SUMIF('regrets 6'!$G81:$K81, "&gt;0"), 1 / COUNT('regrets 6'!$G81:$K81))</f>
        <v>0.5</v>
      </c>
      <c r="I81" s="60">
        <f>IF(SUMIF('regrets 6'!$G81:$K81, "&gt;0") &gt; 0, MAX('regrets 6'!I81, 0) / SUMIF('regrets 6'!$G81:$K81, "&gt;0"), 1 / COUNT('regrets 6'!$G81:$K81))</f>
        <v>0.5</v>
      </c>
      <c r="J81" s="62"/>
      <c r="K81" s="90"/>
      <c r="L81" s="60"/>
      <c r="M81" s="60">
        <f>IF(SUMIF('regrets 6'!$L81:$P81, "&gt;0") &gt; 0, MAX('regrets 6'!M81, 0) / SUMIF('regrets 6'!$L81:$P81, "&gt;0"), 1 / COUNT('regrets 6'!$L81:$P81))</f>
        <v>0</v>
      </c>
      <c r="N81" s="60">
        <f>IF(SUMIF('regrets 6'!$L81:$P81, "&gt;0") &gt; 0, MAX('regrets 6'!N81, 0) / SUMIF('regrets 6'!$L81:$P81, "&gt;0"), 1 / COUNT('regrets 6'!$L81:$P81))</f>
        <v>1</v>
      </c>
      <c r="O81" s="62"/>
      <c r="P81" s="90"/>
      <c r="Q81" s="60"/>
      <c r="R81" s="60">
        <f>IF(SUMIF('regrets 6'!$Q81:$U81, "&gt;0") &gt; 0, MAX('regrets 6'!R81, 0) / SUMIF('regrets 6'!$Q81:$U81, "&gt;0"), 1 / COUNT('regrets 6'!$Q81:$U81))</f>
        <v>0.5</v>
      </c>
      <c r="S81" s="60">
        <f>IF(SUMIF('regrets 6'!$Q81:$U81, "&gt;0") &gt; 0, MAX('regrets 6'!S81, 0) / SUMIF('regrets 6'!$Q81:$U81, "&gt;0"), 1 / COUNT('regrets 6'!$Q81:$U81))</f>
        <v>0.5</v>
      </c>
      <c r="T81" s="62"/>
      <c r="U81" s="90"/>
    </row>
    <row r="82" spans="1:21" ht="20" customHeight="1" x14ac:dyDescent="0.15">
      <c r="A82" s="12">
        <v>13</v>
      </c>
      <c r="B82" s="61">
        <f>IF(SUMIF('regrets 6'!$B82:$F82, "&gt;0") &gt; 0, MAX('regrets 6'!B82, 0) / SUMIF('regrets 6'!$B82:$F82, "&gt;0"), 1 / COUNT('regrets 6'!$B82:$F82))</f>
        <v>0.5</v>
      </c>
      <c r="C82" s="61">
        <f>IF(SUMIF('regrets 6'!$B82:$F82, "&gt;0") &gt; 0, MAX('regrets 6'!C82, 0) / SUMIF('regrets 6'!$B82:$F82, "&gt;0"), 1 / COUNT('regrets 6'!$B82:$F82))</f>
        <v>0.5</v>
      </c>
      <c r="D82" s="61"/>
      <c r="E82" s="62"/>
      <c r="F82" s="90"/>
      <c r="G82" s="60">
        <f>IF(SUMIF('regrets 6'!$G82:$K82, "&gt;0") &gt; 0, MAX('regrets 6'!G82, 0) / SUMIF('regrets 6'!$G82:$K82, "&gt;0"), 1 / COUNT('regrets 6'!$G82:$K82))</f>
        <v>0.5</v>
      </c>
      <c r="H82" s="60">
        <f>IF(SUMIF('regrets 6'!$G82:$K82, "&gt;0") &gt; 0, MAX('regrets 6'!H82, 0) / SUMIF('regrets 6'!$G82:$K82, "&gt;0"), 1 / COUNT('regrets 6'!$G82:$K82))</f>
        <v>0.5</v>
      </c>
      <c r="I82" s="61"/>
      <c r="J82" s="62"/>
      <c r="K82" s="90"/>
      <c r="L82" s="60">
        <f>IF(SUMIF('regrets 6'!$L82:$P82, "&gt;0") &gt; 0, MAX('regrets 6'!L82, 0) / SUMIF('regrets 6'!$L82:$P82, "&gt;0"), 1 / COUNT('regrets 6'!$L82:$P82))</f>
        <v>0.5</v>
      </c>
      <c r="M82" s="60">
        <f>IF(SUMIF('regrets 6'!$L82:$P82, "&gt;0") &gt; 0, MAX('regrets 6'!M82, 0) / SUMIF('regrets 6'!$L82:$P82, "&gt;0"), 1 / COUNT('regrets 6'!$L82:$P82))</f>
        <v>0.5</v>
      </c>
      <c r="N82" s="61"/>
      <c r="O82" s="62"/>
      <c r="P82" s="90"/>
      <c r="Q82" s="60">
        <f>IF(SUMIF('regrets 6'!$Q82:$U82, "&gt;0") &gt; 0, MAX('regrets 6'!Q82, 0) / SUMIF('regrets 6'!$Q82:$U82, "&gt;0"), 1 / COUNT('regrets 6'!$Q82:$U82))</f>
        <v>0.5</v>
      </c>
      <c r="R82" s="60">
        <f>IF(SUMIF('regrets 6'!$Q82:$U82, "&gt;0") &gt; 0, MAX('regrets 6'!R82, 0) / SUMIF('regrets 6'!$Q82:$U82, "&gt;0"), 1 / COUNT('regrets 6'!$Q82:$U82))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IF(SUMIF('regrets 6'!$B83:$F83, "&gt;0") &gt; 0, MAX('regrets 6'!C83, 0) / SUMIF('regrets 6'!$B83:$F83, "&gt;0"), 1 / COUNT('regrets 6'!$B83:$F83))</f>
        <v>0.5</v>
      </c>
      <c r="D83" s="61">
        <f>IF(SUMIF('regrets 6'!$B83:$F83, "&gt;0") &gt; 0, MAX('regrets 6'!D83, 0) / SUMIF('regrets 6'!$B83:$F83, "&gt;0"), 1 / COUNT('regrets 6'!$B83:$F83))</f>
        <v>0.5</v>
      </c>
      <c r="E83" s="62"/>
      <c r="F83" s="90"/>
      <c r="G83" s="60"/>
      <c r="H83" s="60">
        <f>IF(SUMIF('regrets 6'!$G83:$K83, "&gt;0") &gt; 0, MAX('regrets 6'!H83, 0) / SUMIF('regrets 6'!$G83:$K83, "&gt;0"), 1 / COUNT('regrets 6'!$G83:$K83))</f>
        <v>0.5</v>
      </c>
      <c r="I83" s="60">
        <f>IF(SUMIF('regrets 6'!$G83:$K83, "&gt;0") &gt; 0, MAX('regrets 6'!I83, 0) / SUMIF('regrets 6'!$G83:$K83, "&gt;0"), 1 / COUNT('regrets 6'!$G83:$K83))</f>
        <v>0.5</v>
      </c>
      <c r="J83" s="62"/>
      <c r="K83" s="90"/>
      <c r="L83" s="60"/>
      <c r="M83" s="60">
        <f>IF(SUMIF('regrets 6'!$L83:$P83, "&gt;0") &gt; 0, MAX('regrets 6'!M83, 0) / SUMIF('regrets 6'!$L83:$P83, "&gt;0"), 1 / COUNT('regrets 6'!$L83:$P83))</f>
        <v>0.5</v>
      </c>
      <c r="N83" s="60">
        <f>IF(SUMIF('regrets 6'!$L83:$P83, "&gt;0") &gt; 0, MAX('regrets 6'!N83, 0) / SUMIF('regrets 6'!$L83:$P83, "&gt;0"), 1 / COUNT('regrets 6'!$L83:$P83))</f>
        <v>0.5</v>
      </c>
      <c r="O83" s="62"/>
      <c r="P83" s="90"/>
      <c r="Q83" s="60"/>
      <c r="R83" s="60">
        <f>IF(SUMIF('regrets 6'!$Q83:$U83, "&gt;0") &gt; 0, MAX('regrets 6'!R83, 0) / SUMIF('regrets 6'!$Q83:$U83, "&gt;0"), 1 / COUNT('regrets 6'!$Q83:$U83))</f>
        <v>0.5</v>
      </c>
      <c r="S83" s="60">
        <f>IF(SUMIF('regrets 6'!$Q83:$U83, "&gt;0") &gt; 0, MAX('regrets 6'!S83, 0) / SUMIF('regrets 6'!$Q83:$U83, "&gt;0"), 1 / COUNT('regrets 6'!$Q83:$U83))</f>
        <v>0.5</v>
      </c>
      <c r="T83" s="62"/>
      <c r="U83" s="90"/>
    </row>
    <row r="84" spans="1:21" ht="20" customHeight="1" x14ac:dyDescent="0.15">
      <c r="A84" s="12">
        <v>15</v>
      </c>
      <c r="B84" s="61">
        <f>IF(SUMIF('regrets 6'!$B84:$F84, "&gt;0") &gt; 0, MAX('regrets 6'!B84, 0) / SUMIF('regrets 6'!$B84:$F84, "&gt;0"), 1 / COUNT('regrets 6'!$B84:$F84))</f>
        <v>0.5</v>
      </c>
      <c r="C84" s="61">
        <f>IF(SUMIF('regrets 6'!$B84:$F84, "&gt;0") &gt; 0, MAX('regrets 6'!C84, 0) / SUMIF('regrets 6'!$B84:$F84, "&gt;0"), 1 / COUNT('regrets 6'!$B84:$F84))</f>
        <v>0.5</v>
      </c>
      <c r="D84" s="61"/>
      <c r="E84" s="62"/>
      <c r="F84" s="90"/>
      <c r="G84" s="60">
        <f>IF(SUMIF('regrets 6'!$G84:$K84, "&gt;0") &gt; 0, MAX('regrets 6'!G84, 0) / SUMIF('regrets 6'!$G84:$K84, "&gt;0"), 1 / COUNT('regrets 6'!$G84:$K84))</f>
        <v>0.5</v>
      </c>
      <c r="H84" s="60">
        <f>IF(SUMIF('regrets 6'!$G84:$K84, "&gt;0") &gt; 0, MAX('regrets 6'!H84, 0) / SUMIF('regrets 6'!$G84:$K84, "&gt;0"), 1 / COUNT('regrets 6'!$G84:$K84))</f>
        <v>0.5</v>
      </c>
      <c r="I84" s="61"/>
      <c r="J84" s="62"/>
      <c r="K84" s="90"/>
      <c r="L84" s="60">
        <f>IF(SUMIF('regrets 6'!$L84:$P84, "&gt;0") &gt; 0, MAX('regrets 6'!L84, 0) / SUMIF('regrets 6'!$L84:$P84, "&gt;0"), 1 / COUNT('regrets 6'!$L84:$P84))</f>
        <v>0.5</v>
      </c>
      <c r="M84" s="60">
        <f>IF(SUMIF('regrets 6'!$L84:$P84, "&gt;0") &gt; 0, MAX('regrets 6'!M84, 0) / SUMIF('regrets 6'!$L84:$P84, "&gt;0"), 1 / COUNT('regrets 6'!$L84:$P84))</f>
        <v>0.5</v>
      </c>
      <c r="N84" s="61"/>
      <c r="O84" s="62"/>
      <c r="P84" s="90"/>
      <c r="Q84" s="60">
        <f>IF(SUMIF('regrets 6'!$Q84:$U84, "&gt;0") &gt; 0, MAX('regrets 6'!Q84, 0) / SUMIF('regrets 6'!$Q84:$U84, "&gt;0"), 1 / COUNT('regrets 6'!$Q84:$U84))</f>
        <v>0.5</v>
      </c>
      <c r="R84" s="60">
        <f>IF(SUMIF('regrets 6'!$Q84:$U84, "&gt;0") &gt; 0, MAX('regrets 6'!R84, 0) / SUMIF('regrets 6'!$Q84:$U84, "&gt;0"), 1 / COUNT('regrets 6'!$Q84:$U84))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IF(SUMIF('regrets 6'!$B85:$F85, "&gt;0") &gt; 0, MAX('regrets 6'!C85, 0) / SUMIF('regrets 6'!$B85:$F85, "&gt;0"), 1 / COUNT('regrets 6'!$B85:$F85))</f>
        <v>0.5</v>
      </c>
      <c r="D85" s="61">
        <f>IF(SUMIF('regrets 6'!$B85:$F85, "&gt;0") &gt; 0, MAX('regrets 6'!D85, 0) / SUMIF('regrets 6'!$B85:$F85, "&gt;0"), 1 / COUNT('regrets 6'!$B85:$F85))</f>
        <v>0.5</v>
      </c>
      <c r="E85" s="62"/>
      <c r="F85" s="90"/>
      <c r="G85" s="60"/>
      <c r="H85" s="60">
        <f>IF(SUMIF('regrets 6'!$G85:$K85, "&gt;0") &gt; 0, MAX('regrets 6'!H85, 0) / SUMIF('regrets 6'!$G85:$K85, "&gt;0"), 1 / COUNT('regrets 6'!$G85:$K85))</f>
        <v>0.5</v>
      </c>
      <c r="I85" s="60">
        <f>IF(SUMIF('regrets 6'!$G85:$K85, "&gt;0") &gt; 0, MAX('regrets 6'!I85, 0) / SUMIF('regrets 6'!$G85:$K85, "&gt;0"), 1 / COUNT('regrets 6'!$G85:$K85))</f>
        <v>0.5</v>
      </c>
      <c r="J85" s="62"/>
      <c r="K85" s="90"/>
      <c r="L85" s="60"/>
      <c r="M85" s="60">
        <f>IF(SUMIF('regrets 6'!$L85:$P85, "&gt;0") &gt; 0, MAX('regrets 6'!M85, 0) / SUMIF('regrets 6'!$L85:$P85, "&gt;0"), 1 / COUNT('regrets 6'!$L85:$P85))</f>
        <v>0.5</v>
      </c>
      <c r="N85" s="60">
        <f>IF(SUMIF('regrets 6'!$L85:$P85, "&gt;0") &gt; 0, MAX('regrets 6'!N85, 0) / SUMIF('regrets 6'!$L85:$P85, "&gt;0"), 1 / COUNT('regrets 6'!$L85:$P85))</f>
        <v>0.5</v>
      </c>
      <c r="O85" s="62"/>
      <c r="P85" s="90"/>
      <c r="Q85" s="60"/>
      <c r="R85" s="60">
        <f>IF(SUMIF('regrets 6'!$Q85:$U85, "&gt;0") &gt; 0, MAX('regrets 6'!R85, 0) / SUMIF('regrets 6'!$Q85:$U85, "&gt;0"), 1 / COUNT('regrets 6'!$Q85:$U85))</f>
        <v>0.5</v>
      </c>
      <c r="S85" s="60">
        <f>IF(SUMIF('regrets 6'!$Q85:$U85, "&gt;0") &gt; 0, MAX('regrets 6'!S85, 0) / SUMIF('regrets 6'!$Q85:$U85, "&gt;0"), 1 / COUNT('regrets 6'!$Q85:$U85))</f>
        <v>0.5</v>
      </c>
      <c r="T85" s="62"/>
      <c r="U85" s="90"/>
    </row>
    <row r="86" spans="1:21" ht="20" customHeight="1" x14ac:dyDescent="0.15">
      <c r="A86" s="12">
        <v>17</v>
      </c>
      <c r="B86" s="61">
        <f>IF(SUMIF('regrets 6'!$B86:$F86, "&gt;0") &gt; 0, MAX('regrets 6'!B86, 0) / SUMIF('regrets 6'!$B86:$F86, "&gt;0"), 1 / COUNT('regrets 6'!$B86:$F86))</f>
        <v>0.5</v>
      </c>
      <c r="C86" s="61">
        <f>IF(SUMIF('regrets 6'!$B86:$F86, "&gt;0") &gt; 0, MAX('regrets 6'!C86, 0) / SUMIF('regrets 6'!$B86:$F86, "&gt;0"), 1 / COUNT('regrets 6'!$B86:$F86))</f>
        <v>0.5</v>
      </c>
      <c r="D86" s="61"/>
      <c r="E86" s="62"/>
      <c r="F86" s="90"/>
      <c r="G86" s="60">
        <f>IF(SUMIF('regrets 6'!$G86:$K86, "&gt;0") &gt; 0, MAX('regrets 6'!G86, 0) / SUMIF('regrets 6'!$G86:$K86, "&gt;0"), 1 / COUNT('regrets 6'!$G86:$K86))</f>
        <v>0.5</v>
      </c>
      <c r="H86" s="60">
        <f>IF(SUMIF('regrets 6'!$G86:$K86, "&gt;0") &gt; 0, MAX('regrets 6'!H86, 0) / SUMIF('regrets 6'!$G86:$K86, "&gt;0"), 1 / COUNT('regrets 6'!$G86:$K86))</f>
        <v>0.5</v>
      </c>
      <c r="I86" s="61"/>
      <c r="J86" s="62"/>
      <c r="K86" s="90"/>
      <c r="L86" s="60">
        <f>IF(SUMIF('regrets 6'!$L86:$P86, "&gt;0") &gt; 0, MAX('regrets 6'!L86, 0) / SUMIF('regrets 6'!$L86:$P86, "&gt;0"), 1 / COUNT('regrets 6'!$L86:$P86))</f>
        <v>0.5</v>
      </c>
      <c r="M86" s="60">
        <f>IF(SUMIF('regrets 6'!$L86:$P86, "&gt;0") &gt; 0, MAX('regrets 6'!M86, 0) / SUMIF('regrets 6'!$L86:$P86, "&gt;0"), 1 / COUNT('regrets 6'!$L86:$P86))</f>
        <v>0.5</v>
      </c>
      <c r="N86" s="61"/>
      <c r="O86" s="62"/>
      <c r="P86" s="90"/>
      <c r="Q86" s="60">
        <f>IF(SUMIF('regrets 6'!$Q86:$U86, "&gt;0") &gt; 0, MAX('regrets 6'!Q86, 0) / SUMIF('regrets 6'!$Q86:$U86, "&gt;0"), 1 / COUNT('regrets 6'!$Q86:$U86))</f>
        <v>0.5</v>
      </c>
      <c r="R86" s="60">
        <f>IF(SUMIF('regrets 6'!$Q86:$U86, "&gt;0") &gt; 0, MAX('regrets 6'!R86, 0) / SUMIF('regrets 6'!$Q86:$U86, "&gt;0"), 1 / COUNT('regrets 6'!$Q86:$U86))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IF(SUMIF('regrets 6'!$B87:$F87, "&gt;0") &gt; 0, MAX('regrets 6'!C87, 0) / SUMIF('regrets 6'!$B87:$F87, "&gt;0"), 1 / COUNT('regrets 6'!$B87:$F87))</f>
        <v>0.5</v>
      </c>
      <c r="D87" s="61">
        <f>IF(SUMIF('regrets 6'!$B87:$F87, "&gt;0") &gt; 0, MAX('regrets 6'!D87, 0) / SUMIF('regrets 6'!$B87:$F87, "&gt;0"), 1 / COUNT('regrets 6'!$B87:$F87))</f>
        <v>0.5</v>
      </c>
      <c r="E87" s="62"/>
      <c r="F87" s="90"/>
      <c r="G87" s="60"/>
      <c r="H87" s="60">
        <f>IF(SUMIF('regrets 6'!$G87:$K87, "&gt;0") &gt; 0, MAX('regrets 6'!H87, 0) / SUMIF('regrets 6'!$G87:$K87, "&gt;0"), 1 / COUNT('regrets 6'!$G87:$K87))</f>
        <v>0.5</v>
      </c>
      <c r="I87" s="60">
        <f>IF(SUMIF('regrets 6'!$G87:$K87, "&gt;0") &gt; 0, MAX('regrets 6'!I87, 0) / SUMIF('regrets 6'!$G87:$K87, "&gt;0"), 1 / COUNT('regrets 6'!$G87:$K87))</f>
        <v>0.5</v>
      </c>
      <c r="J87" s="62"/>
      <c r="K87" s="90"/>
      <c r="L87" s="60"/>
      <c r="M87" s="60">
        <f>IF(SUMIF('regrets 6'!$L87:$P87, "&gt;0") &gt; 0, MAX('regrets 6'!M87, 0) / SUMIF('regrets 6'!$L87:$P87, "&gt;0"), 1 / COUNT('regrets 6'!$L87:$P87))</f>
        <v>0.5</v>
      </c>
      <c r="N87" s="60">
        <f>IF(SUMIF('regrets 6'!$L87:$P87, "&gt;0") &gt; 0, MAX('regrets 6'!N87, 0) / SUMIF('regrets 6'!$L87:$P87, "&gt;0"), 1 / COUNT('regrets 6'!$L87:$P87))</f>
        <v>0.5</v>
      </c>
      <c r="O87" s="62"/>
      <c r="P87" s="90"/>
      <c r="Q87" s="60"/>
      <c r="R87" s="60">
        <f>IF(SUMIF('regrets 6'!$Q87:$U87, "&gt;0") &gt; 0, MAX('regrets 6'!R87, 0) / SUMIF('regrets 6'!$Q87:$U87, "&gt;0"), 1 / COUNT('regrets 6'!$Q87:$U87))</f>
        <v>0.5</v>
      </c>
      <c r="S87" s="60">
        <f>IF(SUMIF('regrets 6'!$Q87:$U87, "&gt;0") &gt; 0, MAX('regrets 6'!S87, 0) / SUMIF('regrets 6'!$Q87:$U87, "&gt;0"), 1 / COUNT('regrets 6'!$Q87:$U87))</f>
        <v>0.5</v>
      </c>
      <c r="T87" s="62"/>
      <c r="U87" s="90"/>
    </row>
    <row r="88" spans="1:21" ht="20" customHeight="1" x14ac:dyDescent="0.15">
      <c r="A88" s="12">
        <v>19</v>
      </c>
      <c r="B88" s="61">
        <f>IF(SUMIF('regrets 6'!$B88:$F88, "&gt;0") &gt; 0, MAX('regrets 6'!B88, 0) / SUMIF('regrets 6'!$B88:$F88, "&gt;0"), 1 / COUNT('regrets 6'!$B88:$F88))</f>
        <v>0.5</v>
      </c>
      <c r="C88" s="61">
        <f>IF(SUMIF('regrets 6'!$B88:$F88, "&gt;0") &gt; 0, MAX('regrets 6'!C88, 0) / SUMIF('regrets 6'!$B88:$F88, "&gt;0"), 1 / COUNT('regrets 6'!$B88:$F88))</f>
        <v>0.5</v>
      </c>
      <c r="D88" s="61"/>
      <c r="E88" s="62"/>
      <c r="F88" s="90"/>
      <c r="G88" s="60">
        <f>IF(SUMIF('regrets 6'!$G88:$K88, "&gt;0") &gt; 0, MAX('regrets 6'!G88, 0) / SUMIF('regrets 6'!$G88:$K88, "&gt;0"), 1 / COUNT('regrets 6'!$G88:$K88))</f>
        <v>0.5</v>
      </c>
      <c r="H88" s="60">
        <f>IF(SUMIF('regrets 6'!$G88:$K88, "&gt;0") &gt; 0, MAX('regrets 6'!H88, 0) / SUMIF('regrets 6'!$G88:$K88, "&gt;0"), 1 / COUNT('regrets 6'!$G88:$K88))</f>
        <v>0.5</v>
      </c>
      <c r="I88" s="61"/>
      <c r="J88" s="62"/>
      <c r="K88" s="90"/>
      <c r="L88" s="60">
        <f>IF(SUMIF('regrets 6'!$L88:$P88, "&gt;0") &gt; 0, MAX('regrets 6'!L88, 0) / SUMIF('regrets 6'!$L88:$P88, "&gt;0"), 1 / COUNT('regrets 6'!$L88:$P88))</f>
        <v>0.5</v>
      </c>
      <c r="M88" s="60">
        <f>IF(SUMIF('regrets 6'!$L88:$P88, "&gt;0") &gt; 0, MAX('regrets 6'!M88, 0) / SUMIF('regrets 6'!$L88:$P88, "&gt;0"), 1 / COUNT('regrets 6'!$L88:$P88))</f>
        <v>0.5</v>
      </c>
      <c r="N88" s="61"/>
      <c r="O88" s="62"/>
      <c r="P88" s="90"/>
      <c r="Q88" s="60">
        <f>IF(SUMIF('regrets 6'!$Q88:$U88, "&gt;0") &gt; 0, MAX('regrets 6'!Q88, 0) / SUMIF('regrets 6'!$Q88:$U88, "&gt;0"), 1 / COUNT('regrets 6'!$Q88:$U88))</f>
        <v>0.5</v>
      </c>
      <c r="R88" s="60">
        <f>IF(SUMIF('regrets 6'!$Q88:$U88, "&gt;0") &gt; 0, MAX('regrets 6'!R88, 0) / SUMIF('regrets 6'!$Q88:$U88, "&gt;0"), 1 / COUNT('regrets 6'!$Q88:$U88))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IF(SUMIF('regrets 6'!$B89:$F89, "&gt;0") &gt; 0, MAX('regrets 6'!C89, 0) / SUMIF('regrets 6'!$B89:$F89, "&gt;0"), 1 / COUNT('regrets 6'!$B89:$F89))</f>
        <v>0.5</v>
      </c>
      <c r="D89" s="61">
        <f>IF(SUMIF('regrets 6'!$B89:$F89, "&gt;0") &gt; 0, MAX('regrets 6'!D89, 0) / SUMIF('regrets 6'!$B89:$F89, "&gt;0"), 1 / COUNT('regrets 6'!$B89:$F89))</f>
        <v>0.5</v>
      </c>
      <c r="E89" s="62"/>
      <c r="F89" s="90"/>
      <c r="G89" s="60"/>
      <c r="H89" s="60">
        <f>IF(SUMIF('regrets 6'!$G89:$K89, "&gt;0") &gt; 0, MAX('regrets 6'!H89, 0) / SUMIF('regrets 6'!$G89:$K89, "&gt;0"), 1 / COUNT('regrets 6'!$G89:$K89))</f>
        <v>0.5</v>
      </c>
      <c r="I89" s="60">
        <f>IF(SUMIF('regrets 6'!$G89:$K89, "&gt;0") &gt; 0, MAX('regrets 6'!I89, 0) / SUMIF('regrets 6'!$G89:$K89, "&gt;0"), 1 / COUNT('regrets 6'!$G89:$K89))</f>
        <v>0.5</v>
      </c>
      <c r="J89" s="62"/>
      <c r="K89" s="90"/>
      <c r="L89" s="60"/>
      <c r="M89" s="60">
        <f>IF(SUMIF('regrets 6'!$L89:$P89, "&gt;0") &gt; 0, MAX('regrets 6'!M89, 0) / SUMIF('regrets 6'!$L89:$P89, "&gt;0"), 1 / COUNT('regrets 6'!$L89:$P89))</f>
        <v>0.5</v>
      </c>
      <c r="N89" s="60">
        <f>IF(SUMIF('regrets 6'!$L89:$P89, "&gt;0") &gt; 0, MAX('regrets 6'!N89, 0) / SUMIF('regrets 6'!$L89:$P89, "&gt;0"), 1 / COUNT('regrets 6'!$L89:$P89))</f>
        <v>0.5</v>
      </c>
      <c r="O89" s="62"/>
      <c r="P89" s="90"/>
      <c r="Q89" s="60"/>
      <c r="R89" s="60">
        <f>IF(SUMIF('regrets 6'!$Q89:$U89, "&gt;0") &gt; 0, MAX('regrets 6'!R89, 0) / SUMIF('regrets 6'!$Q89:$U89, "&gt;0"), 1 / COUNT('regrets 6'!$Q89:$U89))</f>
        <v>0.5</v>
      </c>
      <c r="S89" s="60">
        <f>IF(SUMIF('regrets 6'!$Q89:$U89, "&gt;0") &gt; 0, MAX('regrets 6'!S89, 0) / SUMIF('regrets 6'!$Q89:$U89, "&gt;0"), 1 / COUNT('regrets 6'!$Q89:$U89))</f>
        <v>0.5</v>
      </c>
      <c r="T89" s="62"/>
      <c r="U89" s="90"/>
    </row>
    <row r="90" spans="1:21" ht="20" customHeight="1" x14ac:dyDescent="0.15">
      <c r="A90" s="12">
        <v>21</v>
      </c>
      <c r="B90" s="61">
        <f>IF(SUMIF('regrets 6'!$B90:$F90, "&gt;0") &gt; 0, MAX('regrets 6'!B90, 0) / SUMIF('regrets 6'!$B90:$F90, "&gt;0"), 1 / COUNT('regrets 6'!$B90:$F90))</f>
        <v>0</v>
      </c>
      <c r="C90" s="61">
        <f>IF(SUMIF('regrets 6'!$B90:$F90, "&gt;0") &gt; 0, MAX('regrets 6'!C90, 0) / SUMIF('regrets 6'!$B90:$F90, "&gt;0"), 1 / COUNT('regrets 6'!$B90:$F90))</f>
        <v>1</v>
      </c>
      <c r="D90" s="61"/>
      <c r="E90" s="62"/>
      <c r="F90" s="90"/>
      <c r="G90" s="60">
        <f>IF(SUMIF('regrets 6'!$G90:$K90, "&gt;0") &gt; 0, MAX('regrets 6'!G90, 0) / SUMIF('regrets 6'!$G90:$K90, "&gt;0"), 1 / COUNT('regrets 6'!$G90:$K90))</f>
        <v>0.5</v>
      </c>
      <c r="H90" s="60">
        <f>IF(SUMIF('regrets 6'!$G90:$K90, "&gt;0") &gt; 0, MAX('regrets 6'!H90, 0) / SUMIF('regrets 6'!$G90:$K90, "&gt;0"), 1 / COUNT('regrets 6'!$G90:$K90))</f>
        <v>0.5</v>
      </c>
      <c r="I90" s="61"/>
      <c r="J90" s="62"/>
      <c r="K90" s="90"/>
      <c r="L90" s="60">
        <f>IF(SUMIF('regrets 6'!$L90:$P90, "&gt;0") &gt; 0, MAX('regrets 6'!L90, 0) / SUMIF('regrets 6'!$L90:$P90, "&gt;0"), 1 / COUNT('regrets 6'!$L90:$P90))</f>
        <v>0.5</v>
      </c>
      <c r="M90" s="60">
        <f>IF(SUMIF('regrets 6'!$L90:$P90, "&gt;0") &gt; 0, MAX('regrets 6'!M90, 0) / SUMIF('regrets 6'!$L90:$P90, "&gt;0"), 1 / COUNT('regrets 6'!$L90:$P90))</f>
        <v>0.5</v>
      </c>
      <c r="N90" s="61"/>
      <c r="O90" s="62"/>
      <c r="P90" s="90"/>
      <c r="Q90" s="60">
        <f>IF(SUMIF('regrets 6'!$Q90:$U90, "&gt;0") &gt; 0, MAX('regrets 6'!Q90, 0) / SUMIF('regrets 6'!$Q90:$U90, "&gt;0"), 1 / COUNT('regrets 6'!$Q90:$U90))</f>
        <v>0.5</v>
      </c>
      <c r="R90" s="60">
        <f>IF(SUMIF('regrets 6'!$Q90:$U90, "&gt;0") &gt; 0, MAX('regrets 6'!R90, 0) / SUMIF('regrets 6'!$Q90:$U90, "&gt;0"), 1 / COUNT('regrets 6'!$Q90:$U90))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IF(SUMIF('regrets 6'!$B91:$F91, "&gt;0") &gt; 0, MAX('regrets 6'!C91, 0) / SUMIF('regrets 6'!$B91:$F91, "&gt;0"), 1 / COUNT('regrets 6'!$B91:$F91))</f>
        <v>0.5</v>
      </c>
      <c r="D91" s="61">
        <f>IF(SUMIF('regrets 6'!$B91:$F91, "&gt;0") &gt; 0, MAX('regrets 6'!D91, 0) / SUMIF('regrets 6'!$B91:$F91, "&gt;0"), 1 / COUNT('regrets 6'!$B91:$F91))</f>
        <v>0.5</v>
      </c>
      <c r="E91" s="62"/>
      <c r="F91" s="90"/>
      <c r="G91" s="60"/>
      <c r="H91" s="60">
        <f>IF(SUMIF('regrets 6'!$G91:$K91, "&gt;0") &gt; 0, MAX('regrets 6'!H91, 0) / SUMIF('regrets 6'!$G91:$K91, "&gt;0"), 1 / COUNT('regrets 6'!$G91:$K91))</f>
        <v>0.5</v>
      </c>
      <c r="I91" s="60">
        <f>IF(SUMIF('regrets 6'!$G91:$K91, "&gt;0") &gt; 0, MAX('regrets 6'!I91, 0) / SUMIF('regrets 6'!$G91:$K91, "&gt;0"), 1 / COUNT('regrets 6'!$G91:$K91))</f>
        <v>0.5</v>
      </c>
      <c r="J91" s="62"/>
      <c r="K91" s="90"/>
      <c r="L91" s="60"/>
      <c r="M91" s="60">
        <f>IF(SUMIF('regrets 6'!$L91:$P91, "&gt;0") &gt; 0, MAX('regrets 6'!M91, 0) / SUMIF('regrets 6'!$L91:$P91, "&gt;0"), 1 / COUNT('regrets 6'!$L91:$P91))</f>
        <v>0.5</v>
      </c>
      <c r="N91" s="60">
        <f>IF(SUMIF('regrets 6'!$L91:$P91, "&gt;0") &gt; 0, MAX('regrets 6'!N91, 0) / SUMIF('regrets 6'!$L91:$P91, "&gt;0"), 1 / COUNT('regrets 6'!$L91:$P91))</f>
        <v>0.5</v>
      </c>
      <c r="O91" s="62"/>
      <c r="P91" s="90"/>
      <c r="Q91" s="60"/>
      <c r="R91" s="60">
        <f>IF(SUMIF('regrets 6'!$Q91:$U91, "&gt;0") &gt; 0, MAX('regrets 6'!R91, 0) / SUMIF('regrets 6'!$Q91:$U91, "&gt;0"), 1 / COUNT('regrets 6'!$Q91:$U91))</f>
        <v>0.5</v>
      </c>
      <c r="S91" s="60">
        <f>IF(SUMIF('regrets 6'!$Q91:$U91, "&gt;0") &gt; 0, MAX('regrets 6'!S91, 0) / SUMIF('regrets 6'!$Q91:$U91, "&gt;0"), 1 / COUNT('regrets 6'!$Q91:$U91))</f>
        <v>0.5</v>
      </c>
      <c r="T91" s="62"/>
      <c r="U91" s="90"/>
    </row>
    <row r="92" spans="1:21" ht="20" customHeight="1" x14ac:dyDescent="0.15">
      <c r="A92" s="12">
        <v>23</v>
      </c>
      <c r="B92" s="61">
        <f>IF(SUMIF('regrets 6'!$B92:$F92, "&gt;0") &gt; 0, MAX('regrets 6'!B92, 0) / SUMIF('regrets 6'!$B92:$F92, "&gt;0"), 1 / COUNT('regrets 6'!$B92:$F92))</f>
        <v>0.5</v>
      </c>
      <c r="C92" s="61">
        <f>IF(SUMIF('regrets 6'!$B92:$F92, "&gt;0") &gt; 0, MAX('regrets 6'!C92, 0) / SUMIF('regrets 6'!$B92:$F92, "&gt;0"), 1 / COUNT('regrets 6'!$B92:$F92))</f>
        <v>0.5</v>
      </c>
      <c r="D92" s="61"/>
      <c r="E92" s="62"/>
      <c r="F92" s="90"/>
      <c r="G92" s="60">
        <f>IF(SUMIF('regrets 6'!$G92:$K92, "&gt;0") &gt; 0, MAX('regrets 6'!G92, 0) / SUMIF('regrets 6'!$G92:$K92, "&gt;0"), 1 / COUNT('regrets 6'!$G92:$K92))</f>
        <v>0.5</v>
      </c>
      <c r="H92" s="60">
        <f>IF(SUMIF('regrets 6'!$G92:$K92, "&gt;0") &gt; 0, MAX('regrets 6'!H92, 0) / SUMIF('regrets 6'!$G92:$K92, "&gt;0"), 1 / COUNT('regrets 6'!$G92:$K92))</f>
        <v>0.5</v>
      </c>
      <c r="I92" s="61"/>
      <c r="J92" s="62"/>
      <c r="K92" s="90"/>
      <c r="L92" s="60">
        <f>IF(SUMIF('regrets 6'!$L92:$P92, "&gt;0") &gt; 0, MAX('regrets 6'!L92, 0) / SUMIF('regrets 6'!$L92:$P92, "&gt;0"), 1 / COUNT('regrets 6'!$L92:$P92))</f>
        <v>0.5</v>
      </c>
      <c r="M92" s="60">
        <f>IF(SUMIF('regrets 6'!$L92:$P92, "&gt;0") &gt; 0, MAX('regrets 6'!M92, 0) / SUMIF('regrets 6'!$L92:$P92, "&gt;0"), 1 / COUNT('regrets 6'!$L92:$P92))</f>
        <v>0.5</v>
      </c>
      <c r="N92" s="61"/>
      <c r="O92" s="62"/>
      <c r="P92" s="90"/>
      <c r="Q92" s="60">
        <f>IF(SUMIF('regrets 6'!$Q92:$U92, "&gt;0") &gt; 0, MAX('regrets 6'!Q92, 0) / SUMIF('regrets 6'!$Q92:$U92, "&gt;0"), 1 / COUNT('regrets 6'!$Q92:$U92))</f>
        <v>0.5</v>
      </c>
      <c r="R92" s="60">
        <f>IF(SUMIF('regrets 6'!$Q92:$U92, "&gt;0") &gt; 0, MAX('regrets 6'!R92, 0) / SUMIF('regrets 6'!$Q92:$U92, "&gt;0"), 1 / COUNT('regrets 6'!$Q92:$U92))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IF(SUMIF('regrets 6'!$B93:$F93, "&gt;0") &gt; 0, MAX('regrets 6'!C93, 0) / SUMIF('regrets 6'!$B93:$F93, "&gt;0"), 1 / COUNT('regrets 6'!$B93:$F93))</f>
        <v>0.5</v>
      </c>
      <c r="D93" s="61">
        <f>IF(SUMIF('regrets 6'!$B93:$F93, "&gt;0") &gt; 0, MAX('regrets 6'!D93, 0) / SUMIF('regrets 6'!$B93:$F93, "&gt;0"), 1 / COUNT('regrets 6'!$B93:$F93))</f>
        <v>0.5</v>
      </c>
      <c r="E93" s="62"/>
      <c r="F93" s="90"/>
      <c r="G93" s="60"/>
      <c r="H93" s="60">
        <f>IF(SUMIF('regrets 6'!$G93:$K93, "&gt;0") &gt; 0, MAX('regrets 6'!H93, 0) / SUMIF('regrets 6'!$G93:$K93, "&gt;0"), 1 / COUNT('regrets 6'!$G93:$K93))</f>
        <v>0.5</v>
      </c>
      <c r="I93" s="60">
        <f>IF(SUMIF('regrets 6'!$G93:$K93, "&gt;0") &gt; 0, MAX('regrets 6'!I93, 0) / SUMIF('regrets 6'!$G93:$K93, "&gt;0"), 1 / COUNT('regrets 6'!$G93:$K93))</f>
        <v>0.5</v>
      </c>
      <c r="J93" s="62"/>
      <c r="K93" s="90"/>
      <c r="L93" s="60"/>
      <c r="M93" s="60">
        <f>IF(SUMIF('regrets 6'!$L93:$P93, "&gt;0") &gt; 0, MAX('regrets 6'!M93, 0) / SUMIF('regrets 6'!$L93:$P93, "&gt;0"), 1 / COUNT('regrets 6'!$L93:$P93))</f>
        <v>0.5</v>
      </c>
      <c r="N93" s="60">
        <f>IF(SUMIF('regrets 6'!$L93:$P93, "&gt;0") &gt; 0, MAX('regrets 6'!N93, 0) / SUMIF('regrets 6'!$L93:$P93, "&gt;0"), 1 / COUNT('regrets 6'!$L93:$P93))</f>
        <v>0.5</v>
      </c>
      <c r="O93" s="62"/>
      <c r="P93" s="90"/>
      <c r="Q93" s="60"/>
      <c r="R93" s="60">
        <f>IF(SUMIF('regrets 6'!$Q93:$U93, "&gt;0") &gt; 0, MAX('regrets 6'!R93, 0) / SUMIF('regrets 6'!$Q93:$U93, "&gt;0"), 1 / COUNT('regrets 6'!$Q93:$U93))</f>
        <v>0.5</v>
      </c>
      <c r="S93" s="60">
        <f>IF(SUMIF('regrets 6'!$Q93:$U93, "&gt;0") &gt; 0, MAX('regrets 6'!S93, 0) / SUMIF('regrets 6'!$Q93:$U93, "&gt;0"), 1 / COUNT('regrets 6'!$Q93:$U93))</f>
        <v>0.5</v>
      </c>
      <c r="T93" s="62"/>
      <c r="U93" s="90"/>
    </row>
    <row r="94" spans="1:21" ht="20" customHeight="1" x14ac:dyDescent="0.15">
      <c r="A94" s="12">
        <v>25</v>
      </c>
      <c r="B94" s="61">
        <f>IF(SUMIF('regrets 6'!$B94:$F94, "&gt;0") &gt; 0, MAX('regrets 6'!B94, 0) / SUMIF('regrets 6'!$B94:$F94, "&gt;0"), 1 / COUNT('regrets 6'!$B94:$F94))</f>
        <v>0.5</v>
      </c>
      <c r="C94" s="61">
        <f>IF(SUMIF('regrets 6'!$B94:$F94, "&gt;0") &gt; 0, MAX('regrets 6'!C94, 0) / SUMIF('regrets 6'!$B94:$F94, "&gt;0"), 1 / COUNT('regrets 6'!$B94:$F94))</f>
        <v>0.5</v>
      </c>
      <c r="D94" s="61"/>
      <c r="E94" s="62"/>
      <c r="F94" s="90"/>
      <c r="G94" s="60">
        <f>IF(SUMIF('regrets 6'!$G94:$K94, "&gt;0") &gt; 0, MAX('regrets 6'!G94, 0) / SUMIF('regrets 6'!$G94:$K94, "&gt;0"), 1 / COUNT('regrets 6'!$G94:$K94))</f>
        <v>0.5</v>
      </c>
      <c r="H94" s="60">
        <f>IF(SUMIF('regrets 6'!$G94:$K94, "&gt;0") &gt; 0, MAX('regrets 6'!H94, 0) / SUMIF('regrets 6'!$G94:$K94, "&gt;0"), 1 / COUNT('regrets 6'!$G94:$K94))</f>
        <v>0.5</v>
      </c>
      <c r="I94" s="61"/>
      <c r="J94" s="62"/>
      <c r="K94" s="90"/>
      <c r="L94" s="60">
        <f>IF(SUMIF('regrets 6'!$L94:$P94, "&gt;0") &gt; 0, MAX('regrets 6'!L94, 0) / SUMIF('regrets 6'!$L94:$P94, "&gt;0"), 1 / COUNT('regrets 6'!$L94:$P94))</f>
        <v>0.5</v>
      </c>
      <c r="M94" s="60">
        <f>IF(SUMIF('regrets 6'!$L94:$P94, "&gt;0") &gt; 0, MAX('regrets 6'!M94, 0) / SUMIF('regrets 6'!$L94:$P94, "&gt;0"), 1 / COUNT('regrets 6'!$L94:$P94))</f>
        <v>0.5</v>
      </c>
      <c r="N94" s="61"/>
      <c r="O94" s="62"/>
      <c r="P94" s="90"/>
      <c r="Q94" s="60">
        <f>IF(SUMIF('regrets 6'!$Q94:$U94, "&gt;0") &gt; 0, MAX('regrets 6'!Q94, 0) / SUMIF('regrets 6'!$Q94:$U94, "&gt;0"), 1 / COUNT('regrets 6'!$Q94:$U94))</f>
        <v>0.5</v>
      </c>
      <c r="R94" s="60">
        <f>IF(SUMIF('regrets 6'!$Q94:$U94, "&gt;0") &gt; 0, MAX('regrets 6'!R94, 0) / SUMIF('regrets 6'!$Q94:$U94, "&gt;0"), 1 / COUNT('regrets 6'!$Q94:$U94))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IF(SUMIF('regrets 6'!$B95:$F95, "&gt;0") &gt; 0, MAX('regrets 6'!B95, 0) / SUMIF('regrets 6'!$B95:$F95, "&gt;0"), 1 / COUNT('regrets 6'!$B95:$F95))</f>
        <v>0.5</v>
      </c>
      <c r="C95" s="61">
        <f>IF(SUMIF('regrets 6'!$B95:$F95, "&gt;0") &gt; 0, MAX('regrets 6'!C95, 0) / SUMIF('regrets 6'!$B95:$F95, "&gt;0"), 1 / COUNT('regrets 6'!$B95:$F95))</f>
        <v>0.5</v>
      </c>
      <c r="D95" s="61"/>
      <c r="E95" s="62"/>
      <c r="F95" s="90"/>
      <c r="G95" s="60">
        <f>IF(SUMIF('regrets 6'!$G95:$K95, "&gt;0") &gt; 0, MAX('regrets 6'!G95, 0) / SUMIF('regrets 6'!$G95:$K95, "&gt;0"), 1 / COUNT('regrets 6'!$G95:$K95))</f>
        <v>0.5</v>
      </c>
      <c r="H95" s="60">
        <f>IF(SUMIF('regrets 6'!$G95:$K95, "&gt;0") &gt; 0, MAX('regrets 6'!H95, 0) / SUMIF('regrets 6'!$G95:$K95, "&gt;0"), 1 / COUNT('regrets 6'!$G95:$K95))</f>
        <v>0.5</v>
      </c>
      <c r="I95" s="61"/>
      <c r="J95" s="62"/>
      <c r="K95" s="90"/>
      <c r="L95" s="60">
        <f>IF(SUMIF('regrets 6'!$L95:$P95, "&gt;0") &gt; 0, MAX('regrets 6'!L95, 0) / SUMIF('regrets 6'!$L95:$P95, "&gt;0"), 1 / COUNT('regrets 6'!$L95:$P95))</f>
        <v>0.5</v>
      </c>
      <c r="M95" s="60">
        <f>IF(SUMIF('regrets 6'!$L95:$P95, "&gt;0") &gt; 0, MAX('regrets 6'!M95, 0) / SUMIF('regrets 6'!$L95:$P95, "&gt;0"), 1 / COUNT('regrets 6'!$L95:$P95))</f>
        <v>0.5</v>
      </c>
      <c r="N95" s="61"/>
      <c r="O95" s="62"/>
      <c r="P95" s="90"/>
      <c r="Q95" s="60">
        <f>IF(SUMIF('regrets 6'!$Q95:$U95, "&gt;0") &gt; 0, MAX('regrets 6'!Q95, 0) / SUMIF('regrets 6'!$Q95:$U95, "&gt;0"), 1 / COUNT('regrets 6'!$Q95:$U95))</f>
        <v>0.5</v>
      </c>
      <c r="R95" s="60">
        <f>IF(SUMIF('regrets 6'!$Q95:$U95, "&gt;0") &gt; 0, MAX('regrets 6'!R95, 0) / SUMIF('regrets 6'!$Q95:$U95, "&gt;0"), 1 / COUNT('regrets 6'!$Q95:$U95))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IF(SUMIF('regrets 6'!$B96:$F96, "&gt;0") &gt; 0, MAX('regrets 6'!B96, 0) / SUMIF('regrets 6'!$B96:$F96, "&gt;0"), 1 / COUNT('regrets 6'!$B96:$F96))</f>
        <v>0.5</v>
      </c>
      <c r="C96" s="61">
        <f>IF(SUMIF('regrets 6'!$B96:$F96, "&gt;0") &gt; 0, MAX('regrets 6'!C96, 0) / SUMIF('regrets 6'!$B96:$F96, "&gt;0"), 1 / COUNT('regrets 6'!$B96:$F96))</f>
        <v>0.5</v>
      </c>
      <c r="D96" s="61"/>
      <c r="E96" s="62"/>
      <c r="F96" s="90"/>
      <c r="G96" s="60">
        <f>IF(SUMIF('regrets 6'!$G96:$K96, "&gt;0") &gt; 0, MAX('regrets 6'!G96, 0) / SUMIF('regrets 6'!$G96:$K96, "&gt;0"), 1 / COUNT('regrets 6'!$G96:$K96))</f>
        <v>0.5</v>
      </c>
      <c r="H96" s="60">
        <f>IF(SUMIF('regrets 6'!$G96:$K96, "&gt;0") &gt; 0, MAX('regrets 6'!H96, 0) / SUMIF('regrets 6'!$G96:$K96, "&gt;0"), 1 / COUNT('regrets 6'!$G96:$K96))</f>
        <v>0.5</v>
      </c>
      <c r="I96" s="61"/>
      <c r="J96" s="62"/>
      <c r="K96" s="90"/>
      <c r="L96" s="60">
        <f>IF(SUMIF('regrets 6'!$L96:$P96, "&gt;0") &gt; 0, MAX('regrets 6'!L96, 0) / SUMIF('regrets 6'!$L96:$P96, "&gt;0"), 1 / COUNT('regrets 6'!$L96:$P96))</f>
        <v>0.5</v>
      </c>
      <c r="M96" s="60">
        <f>IF(SUMIF('regrets 6'!$L96:$P96, "&gt;0") &gt; 0, MAX('regrets 6'!M96, 0) / SUMIF('regrets 6'!$L96:$P96, "&gt;0"), 1 / COUNT('regrets 6'!$L96:$P96))</f>
        <v>0.5</v>
      </c>
      <c r="N96" s="61"/>
      <c r="O96" s="62"/>
      <c r="P96" s="90"/>
      <c r="Q96" s="60">
        <f>IF(SUMIF('regrets 6'!$Q96:$U96, "&gt;0") &gt; 0, MAX('regrets 6'!Q96, 0) / SUMIF('regrets 6'!$Q96:$U96, "&gt;0"), 1 / COUNT('regrets 6'!$Q96:$U96))</f>
        <v>0.5</v>
      </c>
      <c r="R96" s="60">
        <f>IF(SUMIF('regrets 6'!$Q96:$U96, "&gt;0") &gt; 0, MAX('regrets 6'!R96, 0) / SUMIF('regrets 6'!$Q96:$U96, "&gt;0"), 1 / COUNT('regrets 6'!$Q96:$U96))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IF(SUMIF('regrets 6'!$B97:$F97, "&gt;0") &gt; 0, MAX('regrets 6'!C97, 0) / SUMIF('regrets 6'!$B97:$F97, "&gt;0"), 1 / COUNT('regrets 6'!$B97:$F97))</f>
        <v>0.5</v>
      </c>
      <c r="D97" s="61">
        <f>IF(SUMIF('regrets 6'!$B97:$F97, "&gt;0") &gt; 0, MAX('regrets 6'!D97, 0) / SUMIF('regrets 6'!$B97:$F97, "&gt;0"), 1 / COUNT('regrets 6'!$B97:$F97))</f>
        <v>0.5</v>
      </c>
      <c r="E97" s="62"/>
      <c r="F97" s="90"/>
      <c r="G97" s="60"/>
      <c r="H97" s="60">
        <f>IF(SUMIF('regrets 6'!$G97:$K97, "&gt;0") &gt; 0, MAX('regrets 6'!H97, 0) / SUMIF('regrets 6'!$G97:$K97, "&gt;0"), 1 / COUNT('regrets 6'!$G97:$K97))</f>
        <v>0.5</v>
      </c>
      <c r="I97" s="60">
        <f>IF(SUMIF('regrets 6'!$G97:$K97, "&gt;0") &gt; 0, MAX('regrets 6'!I97, 0) / SUMIF('regrets 6'!$G97:$K97, "&gt;0"), 1 / COUNT('regrets 6'!$G97:$K97))</f>
        <v>0.5</v>
      </c>
      <c r="J97" s="62"/>
      <c r="K97" s="90"/>
      <c r="L97" s="60"/>
      <c r="M97" s="60">
        <f>IF(SUMIF('regrets 6'!$L97:$P97, "&gt;0") &gt; 0, MAX('regrets 6'!M97, 0) / SUMIF('regrets 6'!$L97:$P97, "&gt;0"), 1 / COUNT('regrets 6'!$L97:$P97))</f>
        <v>0.5</v>
      </c>
      <c r="N97" s="60">
        <f>IF(SUMIF('regrets 6'!$L97:$P97, "&gt;0") &gt; 0, MAX('regrets 6'!N97, 0) / SUMIF('regrets 6'!$L97:$P97, "&gt;0"), 1 / COUNT('regrets 6'!$L97:$P97))</f>
        <v>0.5</v>
      </c>
      <c r="O97" s="62"/>
      <c r="P97" s="90"/>
      <c r="Q97" s="60"/>
      <c r="R97" s="60">
        <f>IF(SUMIF('regrets 6'!$Q97:$U97, "&gt;0") &gt; 0, MAX('regrets 6'!R97, 0) / SUMIF('regrets 6'!$Q97:$U97, "&gt;0"), 1 / COUNT('regrets 6'!$Q97:$U97))</f>
        <v>0.5</v>
      </c>
      <c r="S97" s="60">
        <f>IF(SUMIF('regrets 6'!$Q97:$U97, "&gt;0") &gt; 0, MAX('regrets 6'!S97, 0) / SUMIF('regrets 6'!$Q97:$U97, "&gt;0"), 1 / COUNT('regrets 6'!$Q97:$U97))</f>
        <v>0.5</v>
      </c>
      <c r="T97" s="62"/>
      <c r="U97" s="90"/>
    </row>
    <row r="98" spans="1:21" ht="20" customHeight="1" x14ac:dyDescent="0.15">
      <c r="A98" s="12">
        <v>29</v>
      </c>
      <c r="B98" s="61">
        <f>IF(SUMIF('regrets 6'!$B98:$F98, "&gt;0") &gt; 0, MAX('regrets 6'!B98, 0) / SUMIF('regrets 6'!$B98:$F98, "&gt;0"), 1 / COUNT('regrets 6'!$B98:$F98))</f>
        <v>0.5</v>
      </c>
      <c r="C98" s="61">
        <f>IF(SUMIF('regrets 6'!$B98:$F98, "&gt;0") &gt; 0, MAX('regrets 6'!C98, 0) / SUMIF('regrets 6'!$B98:$F98, "&gt;0"), 1 / COUNT('regrets 6'!$B98:$F98))</f>
        <v>0.5</v>
      </c>
      <c r="D98" s="61"/>
      <c r="E98" s="62"/>
      <c r="F98" s="90"/>
      <c r="G98" s="60">
        <f>IF(SUMIF('regrets 6'!$G98:$K98, "&gt;0") &gt; 0, MAX('regrets 6'!G98, 0) / SUMIF('regrets 6'!$G98:$K98, "&gt;0"), 1 / COUNT('regrets 6'!$G98:$K98))</f>
        <v>0.5</v>
      </c>
      <c r="H98" s="60">
        <f>IF(SUMIF('regrets 6'!$G98:$K98, "&gt;0") &gt; 0, MAX('regrets 6'!H98, 0) / SUMIF('regrets 6'!$G98:$K98, "&gt;0"), 1 / COUNT('regrets 6'!$G98:$K98))</f>
        <v>0.5</v>
      </c>
      <c r="I98" s="61"/>
      <c r="J98" s="62"/>
      <c r="K98" s="90"/>
      <c r="L98" s="60">
        <f>IF(SUMIF('regrets 6'!$L98:$P98, "&gt;0") &gt; 0, MAX('regrets 6'!L98, 0) / SUMIF('regrets 6'!$L98:$P98, "&gt;0"), 1 / COUNT('regrets 6'!$L98:$P98))</f>
        <v>0.5</v>
      </c>
      <c r="M98" s="60">
        <f>IF(SUMIF('regrets 6'!$L98:$P98, "&gt;0") &gt; 0, MAX('regrets 6'!M98, 0) / SUMIF('regrets 6'!$L98:$P98, "&gt;0"), 1 / COUNT('regrets 6'!$L98:$P98))</f>
        <v>0.5</v>
      </c>
      <c r="N98" s="61"/>
      <c r="O98" s="62"/>
      <c r="P98" s="90"/>
      <c r="Q98" s="60">
        <f>IF(SUMIF('regrets 6'!$Q98:$U98, "&gt;0") &gt; 0, MAX('regrets 6'!Q98, 0) / SUMIF('regrets 6'!$Q98:$U98, "&gt;0"), 1 / COUNT('regrets 6'!$Q98:$U98))</f>
        <v>0.5</v>
      </c>
      <c r="R98" s="60">
        <f>IF(SUMIF('regrets 6'!$Q98:$U98, "&gt;0") &gt; 0, MAX('regrets 6'!R98, 0) / SUMIF('regrets 6'!$Q98:$U98, "&gt;0"), 1 / COUNT('regrets 6'!$Q98:$U98))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IF(SUMIF('regrets 6'!$B99:$F99, "&gt;0") &gt; 0, MAX('regrets 6'!B99, 0) / SUMIF('regrets 6'!$B99:$F99, "&gt;0"), 1 / COUNT('regrets 6'!$B99:$F99))</f>
        <v>0.5</v>
      </c>
      <c r="C99" s="61">
        <f>IF(SUMIF('regrets 6'!$B99:$F99, "&gt;0") &gt; 0, MAX('regrets 6'!C99, 0) / SUMIF('regrets 6'!$B99:$F99, "&gt;0"), 1 / COUNT('regrets 6'!$B99:$F99))</f>
        <v>0.5</v>
      </c>
      <c r="D99" s="61"/>
      <c r="E99" s="62"/>
      <c r="F99" s="90"/>
      <c r="G99" s="60">
        <f>IF(SUMIF('regrets 6'!$G99:$K99, "&gt;0") &gt; 0, MAX('regrets 6'!G99, 0) / SUMIF('regrets 6'!$G99:$K99, "&gt;0"), 1 / COUNT('regrets 6'!$G99:$K99))</f>
        <v>0.5</v>
      </c>
      <c r="H99" s="60">
        <f>IF(SUMIF('regrets 6'!$G99:$K99, "&gt;0") &gt; 0, MAX('regrets 6'!H99, 0) / SUMIF('regrets 6'!$G99:$K99, "&gt;0"), 1 / COUNT('regrets 6'!$G99:$K99))</f>
        <v>0.5</v>
      </c>
      <c r="I99" s="61"/>
      <c r="J99" s="62"/>
      <c r="K99" s="90"/>
      <c r="L99" s="60">
        <f>IF(SUMIF('regrets 6'!$L99:$P99, "&gt;0") &gt; 0, MAX('regrets 6'!L99, 0) / SUMIF('regrets 6'!$L99:$P99, "&gt;0"), 1 / COUNT('regrets 6'!$L99:$P99))</f>
        <v>0.5</v>
      </c>
      <c r="M99" s="60">
        <f>IF(SUMIF('regrets 6'!$L99:$P99, "&gt;0") &gt; 0, MAX('regrets 6'!M99, 0) / SUMIF('regrets 6'!$L99:$P99, "&gt;0"), 1 / COUNT('regrets 6'!$L99:$P99))</f>
        <v>0.5</v>
      </c>
      <c r="N99" s="61"/>
      <c r="O99" s="62"/>
      <c r="P99" s="90"/>
      <c r="Q99" s="60">
        <f>IF(SUMIF('regrets 6'!$Q99:$U99, "&gt;0") &gt; 0, MAX('regrets 6'!Q99, 0) / SUMIF('regrets 6'!$Q99:$U99, "&gt;0"), 1 / COUNT('regrets 6'!$Q99:$U99))</f>
        <v>0.5</v>
      </c>
      <c r="R99" s="60">
        <f>IF(SUMIF('regrets 6'!$Q99:$U99, "&gt;0") &gt; 0, MAX('regrets 6'!R99, 0) / SUMIF('regrets 6'!$Q99:$U99, "&gt;0"), 1 / COUNT('regrets 6'!$Q99:$U99))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IF(SUMIF('regrets 6'!$B100:$F100, "&gt;0") &gt; 0, MAX('regrets 6'!B100, 0) / SUMIF('regrets 6'!$B100:$F100, "&gt;0"), 1 / COUNT('regrets 6'!$B100:$F100))</f>
        <v>0.5</v>
      </c>
      <c r="C100" s="61">
        <f>IF(SUMIF('regrets 6'!$B100:$F100, "&gt;0") &gt; 0, MAX('regrets 6'!C100, 0) / SUMIF('regrets 6'!$B100:$F100, "&gt;0"), 1 / COUNT('regrets 6'!$B100:$F100))</f>
        <v>0.5</v>
      </c>
      <c r="D100" s="61"/>
      <c r="E100" s="62"/>
      <c r="F100" s="90"/>
      <c r="G100" s="60">
        <f>IF(SUMIF('regrets 6'!$G100:$K100, "&gt;0") &gt; 0, MAX('regrets 6'!G100, 0) / SUMIF('regrets 6'!$G100:$K100, "&gt;0"), 1 / COUNT('regrets 6'!$G100:$K100))</f>
        <v>0.5</v>
      </c>
      <c r="H100" s="60">
        <f>IF(SUMIF('regrets 6'!$G100:$K100, "&gt;0") &gt; 0, MAX('regrets 6'!H100, 0) / SUMIF('regrets 6'!$G100:$K100, "&gt;0"), 1 / COUNT('regrets 6'!$G100:$K100))</f>
        <v>0.5</v>
      </c>
      <c r="I100" s="61"/>
      <c r="J100" s="62"/>
      <c r="K100" s="90"/>
      <c r="L100" s="60">
        <f>IF(SUMIF('regrets 6'!$L100:$P100, "&gt;0") &gt; 0, MAX('regrets 6'!L100, 0) / SUMIF('regrets 6'!$L100:$P100, "&gt;0"), 1 / COUNT('regrets 6'!$L100:$P100))</f>
        <v>0.5</v>
      </c>
      <c r="M100" s="60">
        <f>IF(SUMIF('regrets 6'!$L100:$P100, "&gt;0") &gt; 0, MAX('regrets 6'!M100, 0) / SUMIF('regrets 6'!$L100:$P100, "&gt;0"), 1 / COUNT('regrets 6'!$L100:$P100))</f>
        <v>0.5</v>
      </c>
      <c r="N100" s="61"/>
      <c r="O100" s="62"/>
      <c r="P100" s="90"/>
      <c r="Q100" s="60">
        <f>IF(SUMIF('regrets 6'!$Q100:$U100, "&gt;0") &gt; 0, MAX('regrets 6'!Q100, 0) / SUMIF('regrets 6'!$Q100:$U100, "&gt;0"), 1 / COUNT('regrets 6'!$Q100:$U100))</f>
        <v>0.5</v>
      </c>
      <c r="R100" s="60">
        <f>IF(SUMIF('regrets 6'!$Q100:$U100, "&gt;0") &gt; 0, MAX('regrets 6'!R100, 0) / SUMIF('regrets 6'!$Q100:$U100, "&gt;0"), 1 / COUNT('regrets 6'!$Q100:$U100))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IF(SUMIF('regrets 6'!$B101:$F101, "&gt;0") &gt; 0, MAX('regrets 6'!C101, 0) / SUMIF('regrets 6'!$B101:$F101, "&gt;0"), 1 / COUNT('regrets 6'!$B101:$F101))</f>
        <v>0.5</v>
      </c>
      <c r="D101" s="61">
        <f>IF(SUMIF('regrets 6'!$B101:$F101, "&gt;0") &gt; 0, MAX('regrets 6'!D101, 0) / SUMIF('regrets 6'!$B101:$F101, "&gt;0"), 1 / COUNT('regrets 6'!$B101:$F101))</f>
        <v>0.5</v>
      </c>
      <c r="E101" s="62"/>
      <c r="F101" s="90"/>
      <c r="G101" s="60"/>
      <c r="H101" s="60">
        <f>IF(SUMIF('regrets 6'!$G101:$K101, "&gt;0") &gt; 0, MAX('regrets 6'!H101, 0) / SUMIF('regrets 6'!$G101:$K101, "&gt;0"), 1 / COUNT('regrets 6'!$G101:$K101))</f>
        <v>0.5</v>
      </c>
      <c r="I101" s="60">
        <f>IF(SUMIF('regrets 6'!$G101:$K101, "&gt;0") &gt; 0, MAX('regrets 6'!I101, 0) / SUMIF('regrets 6'!$G101:$K101, "&gt;0"), 1 / COUNT('regrets 6'!$G101:$K101))</f>
        <v>0.5</v>
      </c>
      <c r="J101" s="62"/>
      <c r="K101" s="90"/>
      <c r="L101" s="60"/>
      <c r="M101" s="60">
        <f>IF(SUMIF('regrets 6'!$L101:$P101, "&gt;0") &gt; 0, MAX('regrets 6'!M101, 0) / SUMIF('regrets 6'!$L101:$P101, "&gt;0"), 1 / COUNT('regrets 6'!$L101:$P101))</f>
        <v>0.5</v>
      </c>
      <c r="N101" s="60">
        <f>IF(SUMIF('regrets 6'!$L101:$P101, "&gt;0") &gt; 0, MAX('regrets 6'!N101, 0) / SUMIF('regrets 6'!$L101:$P101, "&gt;0"), 1 / COUNT('regrets 6'!$L101:$P101))</f>
        <v>0.5</v>
      </c>
      <c r="O101" s="62"/>
      <c r="P101" s="90"/>
      <c r="Q101" s="60"/>
      <c r="R101" s="60">
        <f>IF(SUMIF('regrets 6'!$Q101:$U101, "&gt;0") &gt; 0, MAX('regrets 6'!R101, 0) / SUMIF('regrets 6'!$Q101:$U101, "&gt;0"), 1 / COUNT('regrets 6'!$Q101:$U101))</f>
        <v>0.5</v>
      </c>
      <c r="S101" s="60">
        <f>IF(SUMIF('regrets 6'!$Q101:$U101, "&gt;0") &gt; 0, MAX('regrets 6'!S101, 0) / SUMIF('regrets 6'!$Q101:$U101, "&gt;0"), 1 / COUNT('regrets 6'!$Q101:$U101))</f>
        <v>0.5</v>
      </c>
      <c r="T101" s="62"/>
      <c r="U101" s="90"/>
    </row>
    <row r="102" spans="1:21" ht="20" customHeight="1" x14ac:dyDescent="0.15">
      <c r="A102" s="12">
        <v>33</v>
      </c>
      <c r="B102" s="61">
        <f>IF(SUMIF('regrets 6'!$B102:$F102, "&gt;0") &gt; 0, MAX('regrets 6'!B102, 0) / SUMIF('regrets 6'!$B102:$F102, "&gt;0"), 1 / COUNT('regrets 6'!$B102:$F102))</f>
        <v>0.5</v>
      </c>
      <c r="C102" s="61">
        <f>IF(SUMIF('regrets 6'!$B102:$F102, "&gt;0") &gt; 0, MAX('regrets 6'!C102, 0) / SUMIF('regrets 6'!$B102:$F102, "&gt;0"), 1 / COUNT('regrets 6'!$B102:$F102))</f>
        <v>0.5</v>
      </c>
      <c r="D102" s="61"/>
      <c r="E102" s="62"/>
      <c r="F102" s="90"/>
      <c r="G102" s="60">
        <f>IF(SUMIF('regrets 6'!$G102:$K102, "&gt;0") &gt; 0, MAX('regrets 6'!G102, 0) / SUMIF('regrets 6'!$G102:$K102, "&gt;0"), 1 / COUNT('regrets 6'!$G102:$K102))</f>
        <v>0.5</v>
      </c>
      <c r="H102" s="60">
        <f>IF(SUMIF('regrets 6'!$G102:$K102, "&gt;0") &gt; 0, MAX('regrets 6'!H102, 0) / SUMIF('regrets 6'!$G102:$K102, "&gt;0"), 1 / COUNT('regrets 6'!$G102:$K102))</f>
        <v>0.5</v>
      </c>
      <c r="I102" s="61"/>
      <c r="J102" s="62"/>
      <c r="K102" s="90"/>
      <c r="L102" s="60">
        <f>IF(SUMIF('regrets 6'!$L102:$P102, "&gt;0") &gt; 0, MAX('regrets 6'!L102, 0) / SUMIF('regrets 6'!$L102:$P102, "&gt;0"), 1 / COUNT('regrets 6'!$L102:$P102))</f>
        <v>0.5</v>
      </c>
      <c r="M102" s="60">
        <f>IF(SUMIF('regrets 6'!$L102:$P102, "&gt;0") &gt; 0, MAX('regrets 6'!M102, 0) / SUMIF('regrets 6'!$L102:$P102, "&gt;0"), 1 / COUNT('regrets 6'!$L102:$P102))</f>
        <v>0.5</v>
      </c>
      <c r="N102" s="61"/>
      <c r="O102" s="62"/>
      <c r="P102" s="90"/>
      <c r="Q102" s="60">
        <f>IF(SUMIF('regrets 6'!$Q102:$U102, "&gt;0") &gt; 0, MAX('regrets 6'!Q102, 0) / SUMIF('regrets 6'!$Q102:$U102, "&gt;0"), 1 / COUNT('regrets 6'!$Q102:$U102))</f>
        <v>0.5</v>
      </c>
      <c r="R102" s="60">
        <f>IF(SUMIF('regrets 6'!$Q102:$U102, "&gt;0") &gt; 0, MAX('regrets 6'!R102, 0) / SUMIF('regrets 6'!$Q102:$U102, "&gt;0"), 1 / COUNT('regrets 6'!$Q102:$U102))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IF(SUMIF('regrets 6'!$B103:$F103, "&gt;0") &gt; 0, MAX('regrets 6'!B103, 0) / SUMIF('regrets 6'!$B103:$F103, "&gt;0"), 1 / COUNT('regrets 6'!$B103:$F103))</f>
        <v>0.5</v>
      </c>
      <c r="C103" s="61">
        <f>IF(SUMIF('regrets 6'!$B103:$F103, "&gt;0") &gt; 0, MAX('regrets 6'!C103, 0) / SUMIF('regrets 6'!$B103:$F103, "&gt;0"), 1 / COUNT('regrets 6'!$B103:$F103))</f>
        <v>0.5</v>
      </c>
      <c r="D103" s="61"/>
      <c r="E103" s="62"/>
      <c r="F103" s="90"/>
      <c r="G103" s="60">
        <f>IF(SUMIF('regrets 6'!$G103:$K103, "&gt;0") &gt; 0, MAX('regrets 6'!G103, 0) / SUMIF('regrets 6'!$G103:$K103, "&gt;0"), 1 / COUNT('regrets 6'!$G103:$K103))</f>
        <v>0.5</v>
      </c>
      <c r="H103" s="60">
        <f>IF(SUMIF('regrets 6'!$G103:$K103, "&gt;0") &gt; 0, MAX('regrets 6'!H103, 0) / SUMIF('regrets 6'!$G103:$K103, "&gt;0"), 1 / COUNT('regrets 6'!$G103:$K103))</f>
        <v>0.5</v>
      </c>
      <c r="I103" s="61"/>
      <c r="J103" s="62"/>
      <c r="K103" s="90"/>
      <c r="L103" s="60">
        <f>IF(SUMIF('regrets 6'!$L103:$P103, "&gt;0") &gt; 0, MAX('regrets 6'!L103, 0) / SUMIF('regrets 6'!$L103:$P103, "&gt;0"), 1 / COUNT('regrets 6'!$L103:$P103))</f>
        <v>0.5</v>
      </c>
      <c r="M103" s="60">
        <f>IF(SUMIF('regrets 6'!$L103:$P103, "&gt;0") &gt; 0, MAX('regrets 6'!M103, 0) / SUMIF('regrets 6'!$L103:$P103, "&gt;0"), 1 / COUNT('regrets 6'!$L103:$P103))</f>
        <v>0.5</v>
      </c>
      <c r="N103" s="61"/>
      <c r="O103" s="62"/>
      <c r="P103" s="90"/>
      <c r="Q103" s="60">
        <f>IF(SUMIF('regrets 6'!$Q103:$U103, "&gt;0") &gt; 0, MAX('regrets 6'!Q103, 0) / SUMIF('regrets 6'!$Q103:$U103, "&gt;0"), 1 / COUNT('regrets 6'!$Q103:$U103))</f>
        <v>0.5</v>
      </c>
      <c r="R103" s="60">
        <f>IF(SUMIF('regrets 6'!$Q103:$U103, "&gt;0") &gt; 0, MAX('regrets 6'!R103, 0) / SUMIF('regrets 6'!$Q103:$U103, "&gt;0"), 1 / COUNT('regrets 6'!$Q103:$U103))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IF(SUMIF('regrets 6'!$B104:$F104, "&gt;0") &gt; 0, MAX('regrets 6'!B104, 0) / SUMIF('regrets 6'!$B104:$F104, "&gt;0"), 1 / COUNT('regrets 6'!$B104:$F104))</f>
        <v>0.5</v>
      </c>
      <c r="C104" s="61">
        <f>IF(SUMIF('regrets 6'!$B104:$F104, "&gt;0") &gt; 0, MAX('regrets 6'!C104, 0) / SUMIF('regrets 6'!$B104:$F104, "&gt;0"), 1 / COUNT('regrets 6'!$B104:$F104))</f>
        <v>0.5</v>
      </c>
      <c r="D104" s="61"/>
      <c r="E104" s="62"/>
      <c r="F104" s="90"/>
      <c r="G104" s="60">
        <f>IF(SUMIF('regrets 6'!$G104:$K104, "&gt;0") &gt; 0, MAX('regrets 6'!G104, 0) / SUMIF('regrets 6'!$G104:$K104, "&gt;0"), 1 / COUNT('regrets 6'!$G104:$K104))</f>
        <v>0.5</v>
      </c>
      <c r="H104" s="60">
        <f>IF(SUMIF('regrets 6'!$G104:$K104, "&gt;0") &gt; 0, MAX('regrets 6'!H104, 0) / SUMIF('regrets 6'!$G104:$K104, "&gt;0"), 1 / COUNT('regrets 6'!$G104:$K104))</f>
        <v>0.5</v>
      </c>
      <c r="I104" s="61"/>
      <c r="J104" s="62"/>
      <c r="K104" s="90"/>
      <c r="L104" s="60">
        <f>IF(SUMIF('regrets 6'!$L104:$P104, "&gt;0") &gt; 0, MAX('regrets 6'!L104, 0) / SUMIF('regrets 6'!$L104:$P104, "&gt;0"), 1 / COUNT('regrets 6'!$L104:$P104))</f>
        <v>0.5</v>
      </c>
      <c r="M104" s="60">
        <f>IF(SUMIF('regrets 6'!$L104:$P104, "&gt;0") &gt; 0, MAX('regrets 6'!M104, 0) / SUMIF('regrets 6'!$L104:$P104, "&gt;0"), 1 / COUNT('regrets 6'!$L104:$P104))</f>
        <v>0.5</v>
      </c>
      <c r="N104" s="61"/>
      <c r="O104" s="62"/>
      <c r="P104" s="90"/>
      <c r="Q104" s="60">
        <f>IF(SUMIF('regrets 6'!$Q104:$U104, "&gt;0") &gt; 0, MAX('regrets 6'!Q104, 0) / SUMIF('regrets 6'!$Q104:$U104, "&gt;0"), 1 / COUNT('regrets 6'!$Q104:$U104))</f>
        <v>0.5</v>
      </c>
      <c r="R104" s="60">
        <f>IF(SUMIF('regrets 6'!$Q104:$U104, "&gt;0") &gt; 0, MAX('regrets 6'!R104, 0) / SUMIF('regrets 6'!$Q104:$U104, "&gt;0"), 1 / COUNT('regrets 6'!$Q104:$U104))</f>
        <v>0.5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75" zoomScaleNormal="90" workbookViewId="0">
      <pane xSplit="1" ySplit="2" topLeftCell="J3" activePane="bottomRight" state="frozen"/>
      <selection pane="topRight"/>
      <selection pane="bottomLeft"/>
      <selection pane="bottomRight" activeCell="T11" sqref="T11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102">
        <v>1</v>
      </c>
      <c r="H1" s="97"/>
      <c r="I1" s="97"/>
      <c r="J1" s="97"/>
      <c r="K1" s="98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58"/>
      <c r="F3" s="80"/>
      <c r="G3" s="64">
        <f>-4983+5032</f>
        <v>49</v>
      </c>
      <c r="H3" s="65">
        <f>17+5182</f>
        <v>5199</v>
      </c>
      <c r="I3" s="65">
        <f>4967+-18</f>
        <v>4949</v>
      </c>
      <c r="J3" s="58"/>
      <c r="K3" s="80"/>
      <c r="L3" s="64">
        <v>0</v>
      </c>
      <c r="M3" s="65">
        <v>0</v>
      </c>
      <c r="N3" s="65">
        <v>0</v>
      </c>
      <c r="O3" s="58"/>
      <c r="P3" s="80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80"/>
    </row>
    <row r="4" spans="1:21" ht="20" customHeight="1" x14ac:dyDescent="0.15">
      <c r="A4" s="12">
        <v>1</v>
      </c>
      <c r="B4" s="60">
        <v>0</v>
      </c>
      <c r="C4" s="61">
        <v>0</v>
      </c>
      <c r="D4" s="61">
        <v>0</v>
      </c>
      <c r="E4" s="62"/>
      <c r="F4" s="81"/>
      <c r="G4" s="60">
        <f>6633</f>
        <v>6633</v>
      </c>
      <c r="H4" s="61">
        <v>0</v>
      </c>
      <c r="I4" s="61">
        <v>0</v>
      </c>
      <c r="J4" s="62"/>
      <c r="K4" s="81"/>
      <c r="L4" s="60">
        <v>2458</v>
      </c>
      <c r="M4" s="61">
        <v>-7492</v>
      </c>
      <c r="N4" s="61">
        <v>5033</v>
      </c>
      <c r="O4" s="62"/>
      <c r="P4" s="81"/>
      <c r="Q4" s="60">
        <v>0</v>
      </c>
      <c r="R4" s="61">
        <v>0</v>
      </c>
      <c r="S4" s="61">
        <v>0</v>
      </c>
      <c r="T4" s="62"/>
      <c r="U4" s="81"/>
    </row>
    <row r="5" spans="1:21" ht="20" customHeight="1" x14ac:dyDescent="0.15">
      <c r="A5" s="12">
        <v>2</v>
      </c>
      <c r="B5" s="60">
        <v>0</v>
      </c>
      <c r="C5" s="61">
        <v>0</v>
      </c>
      <c r="D5" s="61"/>
      <c r="E5" s="62"/>
      <c r="F5" s="81"/>
      <c r="G5" s="60">
        <v>0</v>
      </c>
      <c r="H5" s="61">
        <v>0</v>
      </c>
      <c r="I5" s="61"/>
      <c r="J5" s="62"/>
      <c r="K5" s="81"/>
      <c r="L5" s="60">
        <v>0</v>
      </c>
      <c r="M5" s="61">
        <v>0</v>
      </c>
      <c r="N5" s="61"/>
      <c r="O5" s="62"/>
      <c r="P5" s="81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v>0</v>
      </c>
      <c r="D6" s="61">
        <v>0</v>
      </c>
      <c r="E6" s="62"/>
      <c r="F6" s="81"/>
      <c r="G6" s="60"/>
      <c r="H6" s="61">
        <v>0</v>
      </c>
      <c r="I6" s="61">
        <v>0</v>
      </c>
      <c r="J6" s="62"/>
      <c r="K6" s="81"/>
      <c r="L6" s="60"/>
      <c r="M6" s="61">
        <v>0</v>
      </c>
      <c r="N6" s="61">
        <v>0</v>
      </c>
      <c r="O6" s="62"/>
      <c r="P6" s="81"/>
      <c r="Q6" s="60"/>
      <c r="R6" s="61">
        <v>0</v>
      </c>
      <c r="S6" s="61">
        <v>0</v>
      </c>
      <c r="T6" s="62"/>
      <c r="U6" s="81"/>
    </row>
    <row r="7" spans="1:21" ht="20" customHeight="1" x14ac:dyDescent="0.15">
      <c r="A7" s="12">
        <v>4</v>
      </c>
      <c r="B7" s="60">
        <v>0</v>
      </c>
      <c r="C7" s="61">
        <v>0</v>
      </c>
      <c r="D7" s="61"/>
      <c r="E7" s="62"/>
      <c r="F7" s="81"/>
      <c r="G7" s="60">
        <v>0</v>
      </c>
      <c r="H7" s="61">
        <v>0</v>
      </c>
      <c r="I7" s="61"/>
      <c r="J7" s="62"/>
      <c r="K7" s="81"/>
      <c r="L7" s="60">
        <v>0</v>
      </c>
      <c r="M7" s="61">
        <v>0</v>
      </c>
      <c r="N7" s="61"/>
      <c r="O7" s="62"/>
      <c r="P7" s="81"/>
      <c r="Q7" s="60">
        <v>0</v>
      </c>
      <c r="R7" s="61">
        <v>0</v>
      </c>
      <c r="S7" s="61"/>
      <c r="T7" s="62"/>
      <c r="U7" s="81"/>
    </row>
    <row r="8" spans="1:21" ht="20" customHeight="1" x14ac:dyDescent="0.15">
      <c r="A8" s="12">
        <v>5</v>
      </c>
      <c r="B8" s="60">
        <v>0</v>
      </c>
      <c r="C8" s="61">
        <v>0</v>
      </c>
      <c r="D8" s="61"/>
      <c r="E8" s="62"/>
      <c r="F8" s="81"/>
      <c r="G8" s="60">
        <v>0</v>
      </c>
      <c r="H8" s="61">
        <v>0</v>
      </c>
      <c r="I8" s="61"/>
      <c r="J8" s="62"/>
      <c r="K8" s="81"/>
      <c r="L8" s="60">
        <v>0</v>
      </c>
      <c r="M8" s="61">
        <v>0</v>
      </c>
      <c r="N8" s="61"/>
      <c r="O8" s="62"/>
      <c r="P8" s="81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81"/>
    </row>
    <row r="9" spans="1:21" ht="20" customHeight="1" x14ac:dyDescent="0.15">
      <c r="A9" s="12">
        <v>6</v>
      </c>
      <c r="B9" s="60">
        <v>0</v>
      </c>
      <c r="C9" s="61">
        <v>0</v>
      </c>
      <c r="D9" s="61"/>
      <c r="E9" s="62"/>
      <c r="F9" s="81"/>
      <c r="G9" s="60">
        <v>0</v>
      </c>
      <c r="H9" s="61">
        <v>0</v>
      </c>
      <c r="I9" s="61"/>
      <c r="J9" s="62"/>
      <c r="K9" s="81"/>
      <c r="L9" s="60">
        <v>0</v>
      </c>
      <c r="M9" s="61">
        <v>0</v>
      </c>
      <c r="N9" s="61"/>
      <c r="O9" s="62"/>
      <c r="P9" s="81"/>
      <c r="Q9" s="60">
        <v>0</v>
      </c>
      <c r="R9" s="61">
        <v>0</v>
      </c>
      <c r="S9" s="61"/>
      <c r="T9" s="62"/>
      <c r="U9" s="81"/>
    </row>
    <row r="10" spans="1:21" ht="20" customHeight="1" x14ac:dyDescent="0.15">
      <c r="A10" s="12">
        <v>7</v>
      </c>
      <c r="B10" s="60">
        <v>0</v>
      </c>
      <c r="C10" s="61">
        <v>0</v>
      </c>
      <c r="D10" s="61"/>
      <c r="E10" s="62"/>
      <c r="F10" s="81"/>
      <c r="G10" s="60">
        <v>0</v>
      </c>
      <c r="H10" s="61">
        <v>0</v>
      </c>
      <c r="I10" s="61"/>
      <c r="J10" s="62"/>
      <c r="K10" s="81"/>
      <c r="L10" s="60">
        <v>4950</v>
      </c>
      <c r="M10" s="61">
        <v>-4950</v>
      </c>
      <c r="N10" s="61"/>
      <c r="O10" s="62"/>
      <c r="P10" s="81"/>
      <c r="Q10" s="60">
        <v>0</v>
      </c>
      <c r="R10" s="61">
        <v>0</v>
      </c>
      <c r="S10" s="61"/>
      <c r="T10" s="62"/>
      <c r="U10" s="81"/>
    </row>
    <row r="11" spans="1:21" ht="20" customHeight="1" x14ac:dyDescent="0.15">
      <c r="A11" s="12">
        <v>8</v>
      </c>
      <c r="B11" s="60">
        <v>0</v>
      </c>
      <c r="C11" s="61">
        <v>0</v>
      </c>
      <c r="D11" s="61">
        <v>0</v>
      </c>
      <c r="E11" s="62"/>
      <c r="F11" s="81"/>
      <c r="G11" s="60">
        <f>4108</f>
        <v>4108</v>
      </c>
      <c r="H11" s="61">
        <f>-5842</f>
        <v>-5842</v>
      </c>
      <c r="I11" s="61">
        <f>1733</f>
        <v>1733</v>
      </c>
      <c r="J11" s="62"/>
      <c r="K11" s="81"/>
      <c r="L11" s="60">
        <v>0</v>
      </c>
      <c r="M11" s="61">
        <v>0</v>
      </c>
      <c r="N11" s="61">
        <v>0</v>
      </c>
      <c r="O11" s="62"/>
      <c r="P11" s="81"/>
      <c r="Q11" s="60">
        <v>0</v>
      </c>
      <c r="R11" s="61">
        <v>0</v>
      </c>
      <c r="S11" s="61">
        <v>0</v>
      </c>
      <c r="T11" s="62"/>
      <c r="U11" s="81"/>
    </row>
    <row r="12" spans="1:21" ht="20" customHeight="1" x14ac:dyDescent="0.15">
      <c r="A12" s="12">
        <v>9</v>
      </c>
      <c r="B12" s="60"/>
      <c r="C12" s="61">
        <v>0</v>
      </c>
      <c r="D12" s="61">
        <v>0</v>
      </c>
      <c r="E12" s="62"/>
      <c r="F12" s="81"/>
      <c r="G12" s="60"/>
      <c r="H12" s="61">
        <v>0</v>
      </c>
      <c r="I12" s="61">
        <v>0</v>
      </c>
      <c r="J12" s="62"/>
      <c r="K12" s="81"/>
      <c r="L12" s="60"/>
      <c r="M12" s="61">
        <v>0</v>
      </c>
      <c r="N12" s="61">
        <v>0</v>
      </c>
      <c r="O12" s="62"/>
      <c r="P12" s="81"/>
      <c r="Q12" s="60"/>
      <c r="R12" s="61">
        <f>1733</f>
        <v>1733</v>
      </c>
      <c r="S12" s="61">
        <f>-1733</f>
        <v>-1733</v>
      </c>
      <c r="T12" s="62"/>
      <c r="U12" s="81"/>
    </row>
    <row r="13" spans="1:21" ht="20" customHeight="1" x14ac:dyDescent="0.15">
      <c r="A13" s="12">
        <v>10</v>
      </c>
      <c r="B13" s="60">
        <v>0</v>
      </c>
      <c r="C13" s="61">
        <v>0</v>
      </c>
      <c r="D13" s="61"/>
      <c r="E13" s="62"/>
      <c r="F13" s="81"/>
      <c r="G13" s="60">
        <v>0</v>
      </c>
      <c r="H13" s="61">
        <v>0</v>
      </c>
      <c r="I13" s="61"/>
      <c r="J13" s="62"/>
      <c r="K13" s="81"/>
      <c r="L13" s="60">
        <v>0</v>
      </c>
      <c r="M13" s="61">
        <v>0</v>
      </c>
      <c r="N13" s="61"/>
      <c r="O13" s="62"/>
      <c r="P13" s="81"/>
      <c r="Q13" s="60">
        <v>0</v>
      </c>
      <c r="R13" s="61">
        <v>0</v>
      </c>
      <c r="S13" s="61"/>
      <c r="T13" s="62"/>
      <c r="U13" s="81"/>
    </row>
    <row r="14" spans="1:21" ht="20" customHeight="1" x14ac:dyDescent="0.15">
      <c r="A14" s="12">
        <v>11</v>
      </c>
      <c r="B14" s="60">
        <v>0</v>
      </c>
      <c r="C14" s="61">
        <v>0</v>
      </c>
      <c r="D14" s="61"/>
      <c r="E14" s="62"/>
      <c r="F14" s="81"/>
      <c r="G14" s="60">
        <v>0</v>
      </c>
      <c r="H14" s="61">
        <v>0</v>
      </c>
      <c r="I14" s="61"/>
      <c r="J14" s="62"/>
      <c r="K14" s="81"/>
      <c r="L14" s="60">
        <v>0</v>
      </c>
      <c r="M14" s="61">
        <v>0</v>
      </c>
      <c r="N14" s="61"/>
      <c r="O14" s="62"/>
      <c r="P14" s="81"/>
      <c r="Q14" s="60">
        <v>0</v>
      </c>
      <c r="R14" s="61">
        <v>0</v>
      </c>
      <c r="S14" s="61"/>
      <c r="T14" s="62"/>
      <c r="U14" s="81"/>
    </row>
    <row r="15" spans="1:21" ht="20" customHeight="1" x14ac:dyDescent="0.15">
      <c r="A15" s="12">
        <v>12</v>
      </c>
      <c r="B15" s="60">
        <v>0</v>
      </c>
      <c r="C15" s="61">
        <v>0</v>
      </c>
      <c r="D15" s="61"/>
      <c r="E15" s="62"/>
      <c r="F15" s="81"/>
      <c r="G15" s="60">
        <v>0</v>
      </c>
      <c r="H15" s="61">
        <v>0</v>
      </c>
      <c r="I15" s="61"/>
      <c r="J15" s="62"/>
      <c r="K15" s="81"/>
      <c r="L15" s="60">
        <v>0</v>
      </c>
      <c r="M15" s="61">
        <v>0</v>
      </c>
      <c r="N15" s="61"/>
      <c r="O15" s="62"/>
      <c r="P15" s="81"/>
      <c r="Q15" s="60">
        <v>0</v>
      </c>
      <c r="R15" s="61">
        <v>0</v>
      </c>
      <c r="S15" s="61"/>
      <c r="T15" s="62"/>
      <c r="U15" s="81"/>
    </row>
    <row r="16" spans="1:21" ht="20" customHeight="1" x14ac:dyDescent="0.15">
      <c r="A16" s="12">
        <v>13</v>
      </c>
      <c r="B16" s="60">
        <v>0</v>
      </c>
      <c r="C16" s="61">
        <v>0</v>
      </c>
      <c r="D16" s="61"/>
      <c r="E16" s="62"/>
      <c r="F16" s="81"/>
      <c r="G16" s="60">
        <v>-10000</v>
      </c>
      <c r="H16" s="61">
        <v>10050</v>
      </c>
      <c r="I16" s="61"/>
      <c r="J16" s="62"/>
      <c r="K16" s="81"/>
      <c r="L16" s="60">
        <v>0</v>
      </c>
      <c r="M16" s="61">
        <v>0</v>
      </c>
      <c r="N16" s="61"/>
      <c r="O16" s="62"/>
      <c r="P16" s="81"/>
      <c r="Q16" s="60">
        <v>0</v>
      </c>
      <c r="R16" s="61">
        <v>0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v>0</v>
      </c>
      <c r="D17" s="61">
        <v>0</v>
      </c>
      <c r="E17" s="62"/>
      <c r="F17" s="81"/>
      <c r="G17" s="60"/>
      <c r="H17" s="61">
        <v>0</v>
      </c>
      <c r="I17" s="61">
        <v>0</v>
      </c>
      <c r="J17" s="62"/>
      <c r="K17" s="81"/>
      <c r="L17" s="60"/>
      <c r="M17" s="61">
        <v>0</v>
      </c>
      <c r="N17" s="61">
        <v>0</v>
      </c>
      <c r="O17" s="62"/>
      <c r="P17" s="81"/>
      <c r="Q17" s="60"/>
      <c r="R17" s="61">
        <v>0</v>
      </c>
      <c r="S17" s="61">
        <v>0</v>
      </c>
      <c r="T17" s="62"/>
      <c r="U17" s="81"/>
    </row>
    <row r="18" spans="1:21" ht="20" customHeight="1" x14ac:dyDescent="0.15">
      <c r="A18" s="12">
        <v>15</v>
      </c>
      <c r="B18" s="60">
        <v>0</v>
      </c>
      <c r="C18" s="61">
        <v>0</v>
      </c>
      <c r="D18" s="61"/>
      <c r="E18" s="62"/>
      <c r="F18" s="81"/>
      <c r="G18" s="60">
        <v>0</v>
      </c>
      <c r="H18" s="61">
        <v>0</v>
      </c>
      <c r="I18" s="61"/>
      <c r="J18" s="62"/>
      <c r="K18" s="81"/>
      <c r="L18" s="60">
        <v>0</v>
      </c>
      <c r="M18" s="61">
        <v>0</v>
      </c>
      <c r="N18" s="61"/>
      <c r="O18" s="62"/>
      <c r="P18" s="81"/>
      <c r="Q18" s="60">
        <v>0</v>
      </c>
      <c r="R18" s="61">
        <v>0</v>
      </c>
      <c r="S18" s="61"/>
      <c r="T18" s="62"/>
      <c r="U18" s="81"/>
    </row>
    <row r="19" spans="1:21" ht="20" customHeight="1" x14ac:dyDescent="0.15">
      <c r="A19" s="12">
        <v>16</v>
      </c>
      <c r="B19" s="60">
        <v>0</v>
      </c>
      <c r="C19" s="61">
        <v>0</v>
      </c>
      <c r="D19" s="61"/>
      <c r="E19" s="62"/>
      <c r="F19" s="81"/>
      <c r="G19" s="60">
        <v>0</v>
      </c>
      <c r="H19" s="61">
        <v>0</v>
      </c>
      <c r="I19" s="61"/>
      <c r="J19" s="62"/>
      <c r="K19" s="81"/>
      <c r="L19" s="60">
        <v>0</v>
      </c>
      <c r="M19" s="61">
        <v>0</v>
      </c>
      <c r="N19" s="61"/>
      <c r="O19" s="62"/>
      <c r="P19" s="81"/>
      <c r="Q19" s="60">
        <v>0</v>
      </c>
      <c r="R19" s="61">
        <v>0</v>
      </c>
      <c r="S19" s="61"/>
      <c r="T19" s="62"/>
      <c r="U19" s="81"/>
    </row>
    <row r="20" spans="1:21" ht="20.75" customHeight="1" thickBot="1" x14ac:dyDescent="0.2">
      <c r="A20" s="17">
        <v>17</v>
      </c>
      <c r="B20" s="82">
        <v>0</v>
      </c>
      <c r="C20" s="83">
        <v>0</v>
      </c>
      <c r="D20" s="83"/>
      <c r="E20" s="75"/>
      <c r="F20" s="84"/>
      <c r="G20" s="82">
        <v>0</v>
      </c>
      <c r="H20" s="83">
        <v>0</v>
      </c>
      <c r="I20" s="83"/>
      <c r="J20" s="75"/>
      <c r="K20" s="84"/>
      <c r="L20" s="82">
        <v>0</v>
      </c>
      <c r="M20" s="83">
        <v>0</v>
      </c>
      <c r="N20" s="83"/>
      <c r="O20" s="75"/>
      <c r="P20" s="84"/>
      <c r="Q20" s="82">
        <v>0</v>
      </c>
      <c r="R20" s="83">
        <v>0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v>0</v>
      </c>
      <c r="D21" s="68">
        <v>0</v>
      </c>
      <c r="E21" s="67"/>
      <c r="F21" s="86"/>
      <c r="G21" s="87"/>
      <c r="H21" s="68">
        <v>-2425</v>
      </c>
      <c r="I21" s="68">
        <v>2425</v>
      </c>
      <c r="J21" s="67"/>
      <c r="K21" s="86"/>
      <c r="L21" s="88"/>
      <c r="M21" s="67">
        <v>0</v>
      </c>
      <c r="N21" s="67">
        <v>0</v>
      </c>
      <c r="O21" s="67"/>
      <c r="P21" s="89"/>
      <c r="Q21" s="87"/>
      <c r="R21" s="68">
        <v>0</v>
      </c>
      <c r="S21" s="68">
        <v>0</v>
      </c>
      <c r="T21" s="67"/>
      <c r="U21" s="86"/>
    </row>
    <row r="22" spans="1:21" ht="20" customHeight="1" x14ac:dyDescent="0.15">
      <c r="A22" s="12">
        <v>1</v>
      </c>
      <c r="B22" s="63">
        <v>0</v>
      </c>
      <c r="C22" s="61">
        <v>0</v>
      </c>
      <c r="D22" s="61"/>
      <c r="E22" s="62"/>
      <c r="F22" s="90"/>
      <c r="G22" s="60">
        <v>0</v>
      </c>
      <c r="H22" s="61">
        <v>0</v>
      </c>
      <c r="I22" s="61"/>
      <c r="J22" s="62"/>
      <c r="K22" s="90"/>
      <c r="L22" s="66">
        <v>0</v>
      </c>
      <c r="M22" s="62">
        <v>0</v>
      </c>
      <c r="N22" s="62"/>
      <c r="O22" s="62"/>
      <c r="P22" s="81"/>
      <c r="Q22" s="60">
        <v>0</v>
      </c>
      <c r="R22" s="61">
        <v>0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v>0</v>
      </c>
      <c r="D23" s="61">
        <v>0</v>
      </c>
      <c r="E23" s="62"/>
      <c r="F23" s="90"/>
      <c r="G23" s="60"/>
      <c r="H23" s="61">
        <v>0</v>
      </c>
      <c r="I23" s="61">
        <v>0</v>
      </c>
      <c r="J23" s="62"/>
      <c r="K23" s="90"/>
      <c r="L23" s="66"/>
      <c r="M23" s="62">
        <v>0</v>
      </c>
      <c r="N23" s="62">
        <v>0</v>
      </c>
      <c r="O23" s="62"/>
      <c r="P23" s="81"/>
      <c r="Q23" s="60"/>
      <c r="R23" s="61">
        <v>0</v>
      </c>
      <c r="S23" s="61">
        <v>0</v>
      </c>
      <c r="T23" s="62"/>
      <c r="U23" s="90"/>
    </row>
    <row r="24" spans="1:21" ht="20" customHeight="1" x14ac:dyDescent="0.15">
      <c r="A24" s="12">
        <v>3</v>
      </c>
      <c r="B24" s="63">
        <v>0</v>
      </c>
      <c r="C24" s="61">
        <v>0</v>
      </c>
      <c r="D24" s="61"/>
      <c r="E24" s="62"/>
      <c r="F24" s="90"/>
      <c r="G24" s="60">
        <v>-5050</v>
      </c>
      <c r="H24" s="61">
        <v>5050</v>
      </c>
      <c r="I24" s="61"/>
      <c r="J24" s="62"/>
      <c r="K24" s="90"/>
      <c r="L24" s="66">
        <v>0</v>
      </c>
      <c r="M24" s="62">
        <v>0</v>
      </c>
      <c r="N24" s="62"/>
      <c r="O24" s="62"/>
      <c r="P24" s="81"/>
      <c r="Q24" s="60">
        <v>0</v>
      </c>
      <c r="R24" s="61">
        <v>0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v>0</v>
      </c>
      <c r="D25" s="61">
        <v>0</v>
      </c>
      <c r="E25" s="62"/>
      <c r="F25" s="90"/>
      <c r="G25" s="60"/>
      <c r="H25" s="61">
        <f>3467</f>
        <v>3467</v>
      </c>
      <c r="I25" s="61">
        <f>-3467</f>
        <v>-3467</v>
      </c>
      <c r="J25" s="62"/>
      <c r="K25" s="90"/>
      <c r="L25" s="66"/>
      <c r="M25" s="62">
        <v>0</v>
      </c>
      <c r="N25" s="62">
        <v>0</v>
      </c>
      <c r="O25" s="62"/>
      <c r="P25" s="81"/>
      <c r="Q25" s="60"/>
      <c r="R25" s="61">
        <v>0</v>
      </c>
      <c r="S25" s="61">
        <v>0</v>
      </c>
      <c r="T25" s="62"/>
      <c r="U25" s="90"/>
    </row>
    <row r="26" spans="1:21" ht="20" customHeight="1" x14ac:dyDescent="0.15">
      <c r="A26" s="12">
        <v>5</v>
      </c>
      <c r="B26" s="63">
        <v>0</v>
      </c>
      <c r="C26" s="61">
        <v>0</v>
      </c>
      <c r="D26" s="61"/>
      <c r="E26" s="62"/>
      <c r="F26" s="90"/>
      <c r="G26" s="60">
        <v>4950</v>
      </c>
      <c r="H26" s="61">
        <v>-4950</v>
      </c>
      <c r="I26" s="61"/>
      <c r="J26" s="62"/>
      <c r="K26" s="90"/>
      <c r="L26" s="91" cm="1">
        <f t="array" ref="L26">BankRound((4950)*0.5)</f>
        <v>2475</v>
      </c>
      <c r="M26" s="92" cm="1">
        <f t="array" ref="M26">BankRound((-4950)*0.5)</f>
        <v>-2475</v>
      </c>
      <c r="N26" s="62"/>
      <c r="O26" s="62"/>
      <c r="P26" s="81"/>
      <c r="Q26" s="60">
        <v>0</v>
      </c>
      <c r="R26" s="61">
        <v>0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90"/>
      <c r="G27" s="60"/>
      <c r="H27" s="61">
        <v>0</v>
      </c>
      <c r="I27" s="61">
        <v>0</v>
      </c>
      <c r="J27" s="62"/>
      <c r="K27" s="90"/>
      <c r="L27" s="66"/>
      <c r="M27" s="62">
        <v>0</v>
      </c>
      <c r="N27" s="62">
        <v>0</v>
      </c>
      <c r="O27" s="62"/>
      <c r="P27" s="81"/>
      <c r="Q27" s="60"/>
      <c r="R27" s="61">
        <v>0</v>
      </c>
      <c r="S27" s="61">
        <v>0</v>
      </c>
      <c r="T27" s="62"/>
      <c r="U27" s="90"/>
    </row>
    <row r="28" spans="1:21" ht="20" customHeight="1" x14ac:dyDescent="0.15">
      <c r="A28" s="12">
        <v>7</v>
      </c>
      <c r="B28" s="63">
        <v>0</v>
      </c>
      <c r="C28" s="61">
        <v>0</v>
      </c>
      <c r="D28" s="61"/>
      <c r="E28" s="62"/>
      <c r="F28" s="90"/>
      <c r="G28" s="60">
        <v>0</v>
      </c>
      <c r="H28" s="61">
        <v>0</v>
      </c>
      <c r="I28" s="61"/>
      <c r="J28" s="62"/>
      <c r="K28" s="90"/>
      <c r="L28" s="66">
        <v>0</v>
      </c>
      <c r="M28" s="62">
        <v>0</v>
      </c>
      <c r="N28" s="62"/>
      <c r="O28" s="62"/>
      <c r="P28" s="81"/>
      <c r="Q28" s="60">
        <v>0</v>
      </c>
      <c r="R28" s="61">
        <v>0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v>0</v>
      </c>
      <c r="D29" s="61">
        <v>0</v>
      </c>
      <c r="E29" s="62"/>
      <c r="F29" s="90"/>
      <c r="G29" s="60"/>
      <c r="H29" s="61">
        <v>0</v>
      </c>
      <c r="I29" s="61">
        <v>0</v>
      </c>
      <c r="J29" s="62"/>
      <c r="K29" s="90"/>
      <c r="L29" s="66"/>
      <c r="M29" s="62">
        <v>0</v>
      </c>
      <c r="N29" s="62">
        <v>0</v>
      </c>
      <c r="O29" s="62"/>
      <c r="P29" s="81"/>
      <c r="Q29" s="60"/>
      <c r="R29" s="61">
        <f>2625</f>
        <v>2625</v>
      </c>
      <c r="S29" s="61">
        <f>-2625</f>
        <v>-2625</v>
      </c>
      <c r="T29" s="62"/>
      <c r="U29" s="90"/>
    </row>
    <row r="30" spans="1:21" ht="20" customHeight="1" x14ac:dyDescent="0.15">
      <c r="A30" s="12">
        <v>9</v>
      </c>
      <c r="B30" s="63">
        <v>0</v>
      </c>
      <c r="C30" s="61">
        <v>0</v>
      </c>
      <c r="D30" s="61"/>
      <c r="E30" s="62"/>
      <c r="F30" s="90"/>
      <c r="G30" s="60">
        <v>0</v>
      </c>
      <c r="H30" s="61">
        <v>0</v>
      </c>
      <c r="I30" s="61"/>
      <c r="J30" s="62"/>
      <c r="K30" s="90"/>
      <c r="L30" s="66">
        <v>0</v>
      </c>
      <c r="M30" s="62">
        <v>0</v>
      </c>
      <c r="N30" s="62"/>
      <c r="O30" s="62"/>
      <c r="P30" s="81"/>
      <c r="Q30" s="60">
        <v>0</v>
      </c>
      <c r="R30" s="61">
        <v>0</v>
      </c>
      <c r="S30" s="61"/>
      <c r="T30" s="62"/>
      <c r="U30" s="9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61"/>
      <c r="E31" s="62"/>
      <c r="F31" s="90"/>
      <c r="G31" s="60">
        <v>0</v>
      </c>
      <c r="H31" s="61">
        <v>0</v>
      </c>
      <c r="I31" s="61"/>
      <c r="J31" s="62"/>
      <c r="K31" s="90"/>
      <c r="L31" s="66">
        <v>0</v>
      </c>
      <c r="M31" s="62">
        <v>0</v>
      </c>
      <c r="N31" s="62"/>
      <c r="O31" s="62"/>
      <c r="P31" s="81"/>
      <c r="Q31" s="60">
        <v>0</v>
      </c>
      <c r="R31" s="61">
        <v>0</v>
      </c>
      <c r="S31" s="61"/>
      <c r="T31" s="62"/>
      <c r="U31" s="90"/>
    </row>
    <row r="32" spans="1:21" ht="20" customHeight="1" x14ac:dyDescent="0.15">
      <c r="A32" s="12">
        <v>11</v>
      </c>
      <c r="B32" s="63">
        <v>0</v>
      </c>
      <c r="C32" s="61">
        <v>0</v>
      </c>
      <c r="D32" s="61"/>
      <c r="E32" s="62"/>
      <c r="F32" s="90"/>
      <c r="G32" s="60">
        <v>0</v>
      </c>
      <c r="H32" s="61">
        <v>0</v>
      </c>
      <c r="I32" s="61"/>
      <c r="J32" s="62"/>
      <c r="K32" s="90"/>
      <c r="L32" s="66">
        <v>0</v>
      </c>
      <c r="M32" s="62">
        <v>0</v>
      </c>
      <c r="N32" s="62"/>
      <c r="O32" s="62"/>
      <c r="P32" s="81"/>
      <c r="Q32" s="60">
        <v>0</v>
      </c>
      <c r="R32" s="61">
        <v>0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v>0</v>
      </c>
      <c r="D33" s="61">
        <v>0</v>
      </c>
      <c r="E33" s="62"/>
      <c r="F33" s="90"/>
      <c r="G33" s="60"/>
      <c r="H33" s="61">
        <v>0</v>
      </c>
      <c r="I33" s="61">
        <v>0</v>
      </c>
      <c r="J33" s="62"/>
      <c r="K33" s="90"/>
      <c r="L33" s="66"/>
      <c r="M33" s="62">
        <v>0</v>
      </c>
      <c r="N33" s="62">
        <v>0</v>
      </c>
      <c r="O33" s="62"/>
      <c r="P33" s="81"/>
      <c r="Q33" s="60"/>
      <c r="R33" s="61">
        <v>0</v>
      </c>
      <c r="S33" s="61">
        <v>0</v>
      </c>
      <c r="T33" s="62"/>
      <c r="U33" s="90"/>
    </row>
    <row r="34" spans="1:21" ht="20" customHeight="1" x14ac:dyDescent="0.15">
      <c r="A34" s="12">
        <v>13</v>
      </c>
      <c r="B34" s="63">
        <v>0</v>
      </c>
      <c r="C34" s="61">
        <v>0</v>
      </c>
      <c r="D34" s="61"/>
      <c r="E34" s="62"/>
      <c r="F34" s="90"/>
      <c r="G34" s="60">
        <v>0</v>
      </c>
      <c r="H34" s="61">
        <v>0</v>
      </c>
      <c r="I34" s="61"/>
      <c r="J34" s="62"/>
      <c r="K34" s="90"/>
      <c r="L34" s="66">
        <v>0</v>
      </c>
      <c r="M34" s="62">
        <v>0</v>
      </c>
      <c r="N34" s="62"/>
      <c r="O34" s="62"/>
      <c r="P34" s="81"/>
      <c r="Q34" s="60">
        <v>0</v>
      </c>
      <c r="R34" s="61">
        <v>0</v>
      </c>
      <c r="S34" s="61"/>
      <c r="T34" s="62"/>
      <c r="U34" s="90"/>
    </row>
    <row r="35" spans="1:21" ht="20" customHeight="1" x14ac:dyDescent="0.15">
      <c r="A35" s="12">
        <v>14</v>
      </c>
      <c r="B35" s="63">
        <v>0</v>
      </c>
      <c r="C35" s="61">
        <v>0</v>
      </c>
      <c r="D35" s="61"/>
      <c r="E35" s="62"/>
      <c r="F35" s="90"/>
      <c r="G35" s="60">
        <v>0</v>
      </c>
      <c r="H35" s="61">
        <v>0</v>
      </c>
      <c r="I35" s="61"/>
      <c r="J35" s="62"/>
      <c r="K35" s="90"/>
      <c r="L35" s="66">
        <v>0</v>
      </c>
      <c r="M35" s="62">
        <v>0</v>
      </c>
      <c r="N35" s="62"/>
      <c r="O35" s="62"/>
      <c r="P35" s="81"/>
      <c r="Q35" s="60">
        <f>4950</f>
        <v>4950</v>
      </c>
      <c r="R35" s="61">
        <f>-4950</f>
        <v>-4950</v>
      </c>
      <c r="S35" s="61"/>
      <c r="T35" s="62"/>
      <c r="U35" s="90"/>
    </row>
    <row r="36" spans="1:21" ht="20" customHeight="1" x14ac:dyDescent="0.15">
      <c r="A36" s="12">
        <v>15</v>
      </c>
      <c r="B36" s="63">
        <v>0</v>
      </c>
      <c r="C36" s="61">
        <v>0</v>
      </c>
      <c r="D36" s="61"/>
      <c r="E36" s="62"/>
      <c r="F36" s="90"/>
      <c r="G36" s="60">
        <v>0</v>
      </c>
      <c r="H36" s="61">
        <v>0</v>
      </c>
      <c r="I36" s="61"/>
      <c r="J36" s="62"/>
      <c r="K36" s="90"/>
      <c r="L36" s="66">
        <v>0</v>
      </c>
      <c r="M36" s="62">
        <v>0</v>
      </c>
      <c r="N36" s="62"/>
      <c r="O36" s="62"/>
      <c r="P36" s="81"/>
      <c r="Q36" s="60">
        <v>0</v>
      </c>
      <c r="R36" s="61">
        <v>0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v>0</v>
      </c>
      <c r="D37" s="61">
        <v>0</v>
      </c>
      <c r="E37" s="62"/>
      <c r="F37" s="90"/>
      <c r="G37" s="60"/>
      <c r="H37" s="61">
        <v>0</v>
      </c>
      <c r="I37" s="61">
        <v>0</v>
      </c>
      <c r="J37" s="62"/>
      <c r="K37" s="90"/>
      <c r="L37" s="66"/>
      <c r="M37" s="62">
        <v>0</v>
      </c>
      <c r="N37" s="62">
        <v>0</v>
      </c>
      <c r="O37" s="62"/>
      <c r="P37" s="81"/>
      <c r="Q37" s="60"/>
      <c r="R37" s="61">
        <v>0</v>
      </c>
      <c r="S37" s="61">
        <v>0</v>
      </c>
      <c r="T37" s="62"/>
      <c r="U37" s="90"/>
    </row>
    <row r="38" spans="1:21" ht="20" customHeight="1" x14ac:dyDescent="0.15">
      <c r="A38" s="12">
        <v>17</v>
      </c>
      <c r="B38" s="63">
        <v>0</v>
      </c>
      <c r="C38" s="61">
        <v>0</v>
      </c>
      <c r="D38" s="61"/>
      <c r="E38" s="62"/>
      <c r="F38" s="90"/>
      <c r="G38" s="60">
        <v>0</v>
      </c>
      <c r="H38" s="61">
        <v>0</v>
      </c>
      <c r="I38" s="61"/>
      <c r="J38" s="62"/>
      <c r="K38" s="90"/>
      <c r="L38" s="66">
        <v>0</v>
      </c>
      <c r="M38" s="62">
        <v>0</v>
      </c>
      <c r="N38" s="62"/>
      <c r="O38" s="62"/>
      <c r="P38" s="81"/>
      <c r="Q38" s="60">
        <v>0</v>
      </c>
      <c r="R38" s="61">
        <v>0</v>
      </c>
      <c r="S38" s="61"/>
      <c r="T38" s="62"/>
      <c r="U38" s="90"/>
    </row>
    <row r="39" spans="1:21" ht="20" customHeight="1" x14ac:dyDescent="0.15">
      <c r="A39" s="12">
        <v>18</v>
      </c>
      <c r="B39" s="63">
        <v>0</v>
      </c>
      <c r="C39" s="61">
        <v>0</v>
      </c>
      <c r="D39" s="61"/>
      <c r="E39" s="62"/>
      <c r="F39" s="90"/>
      <c r="G39" s="60">
        <v>0</v>
      </c>
      <c r="H39" s="61">
        <v>0</v>
      </c>
      <c r="I39" s="61"/>
      <c r="J39" s="62"/>
      <c r="K39" s="90"/>
      <c r="L39" s="66">
        <v>0</v>
      </c>
      <c r="M39" s="62">
        <v>0</v>
      </c>
      <c r="N39" s="62"/>
      <c r="O39" s="62"/>
      <c r="P39" s="81"/>
      <c r="Q39" s="60">
        <v>0</v>
      </c>
      <c r="R39" s="61">
        <v>0</v>
      </c>
      <c r="S39" s="61"/>
      <c r="T39" s="62"/>
      <c r="U39" s="90"/>
    </row>
    <row r="40" spans="1:21" ht="20.75" customHeight="1" thickBot="1" x14ac:dyDescent="0.2">
      <c r="A40" s="17">
        <v>19</v>
      </c>
      <c r="B40" s="93">
        <v>0</v>
      </c>
      <c r="C40" s="83">
        <v>0</v>
      </c>
      <c r="D40" s="83"/>
      <c r="E40" s="75"/>
      <c r="F40" s="94"/>
      <c r="G40" s="82">
        <v>0</v>
      </c>
      <c r="H40" s="83">
        <v>0</v>
      </c>
      <c r="I40" s="83"/>
      <c r="J40" s="75"/>
      <c r="K40" s="94"/>
      <c r="L40" s="95">
        <v>0</v>
      </c>
      <c r="M40" s="75">
        <v>0</v>
      </c>
      <c r="N40" s="75"/>
      <c r="O40" s="75"/>
      <c r="P40" s="84"/>
      <c r="Q40" s="82">
        <v>0</v>
      </c>
      <c r="R40" s="83">
        <v>0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v>0</v>
      </c>
      <c r="D41" s="68">
        <v>0</v>
      </c>
      <c r="E41" s="68">
        <v>0</v>
      </c>
      <c r="F41" s="86"/>
      <c r="G41" s="87"/>
      <c r="H41" s="68">
        <v>0</v>
      </c>
      <c r="I41" s="68">
        <v>0</v>
      </c>
      <c r="J41" s="68">
        <v>0</v>
      </c>
      <c r="K41" s="86"/>
      <c r="L41" s="87"/>
      <c r="M41" s="68">
        <v>0</v>
      </c>
      <c r="N41" s="68">
        <v>0</v>
      </c>
      <c r="O41" s="68">
        <v>0</v>
      </c>
      <c r="P41" s="86"/>
      <c r="Q41" s="87"/>
      <c r="R41" s="68">
        <v>0</v>
      </c>
      <c r="S41" s="68">
        <v>0</v>
      </c>
      <c r="T41" s="68">
        <v>0</v>
      </c>
      <c r="U41" s="86"/>
    </row>
    <row r="42" spans="1:21" ht="20" customHeight="1" x14ac:dyDescent="0.15">
      <c r="A42" s="12">
        <v>1</v>
      </c>
      <c r="B42" s="63">
        <v>0</v>
      </c>
      <c r="C42" s="61">
        <v>0</v>
      </c>
      <c r="D42" s="61"/>
      <c r="E42" s="61"/>
      <c r="F42" s="90"/>
      <c r="G42" s="60">
        <v>0</v>
      </c>
      <c r="H42" s="61">
        <v>0</v>
      </c>
      <c r="I42" s="61"/>
      <c r="J42" s="61"/>
      <c r="K42" s="90"/>
      <c r="L42" s="60">
        <v>0</v>
      </c>
      <c r="M42" s="61">
        <v>0</v>
      </c>
      <c r="N42" s="61"/>
      <c r="O42" s="61"/>
      <c r="P42" s="90"/>
      <c r="Q42" s="60">
        <v>0</v>
      </c>
      <c r="R42" s="61">
        <v>0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v>0</v>
      </c>
      <c r="D43" s="61">
        <v>0</v>
      </c>
      <c r="E43" s="61">
        <v>0</v>
      </c>
      <c r="F43" s="90"/>
      <c r="G43" s="60"/>
      <c r="H43" s="61">
        <v>0</v>
      </c>
      <c r="I43" s="61">
        <v>0</v>
      </c>
      <c r="J43" s="61">
        <v>0</v>
      </c>
      <c r="K43" s="90"/>
      <c r="L43" s="60"/>
      <c r="M43" s="61">
        <v>0</v>
      </c>
      <c r="N43" s="61">
        <v>0</v>
      </c>
      <c r="O43" s="61">
        <v>0</v>
      </c>
      <c r="P43" s="90"/>
      <c r="Q43" s="60"/>
      <c r="R43" s="61">
        <v>0</v>
      </c>
      <c r="S43" s="61">
        <v>0</v>
      </c>
      <c r="T43" s="61">
        <v>0</v>
      </c>
      <c r="U43" s="90"/>
    </row>
    <row r="44" spans="1:21" ht="20" customHeight="1" x14ac:dyDescent="0.15">
      <c r="A44" s="12">
        <v>3</v>
      </c>
      <c r="B44" s="63">
        <v>0</v>
      </c>
      <c r="C44" s="61">
        <v>0</v>
      </c>
      <c r="D44" s="61"/>
      <c r="E44" s="61"/>
      <c r="F44" s="90"/>
      <c r="G44" s="60">
        <v>0</v>
      </c>
      <c r="H44" s="61">
        <v>0</v>
      </c>
      <c r="I44" s="61"/>
      <c r="J44" s="61"/>
      <c r="K44" s="90"/>
      <c r="L44" s="60">
        <v>0</v>
      </c>
      <c r="M44" s="61">
        <v>0</v>
      </c>
      <c r="N44" s="61"/>
      <c r="O44" s="61"/>
      <c r="P44" s="90"/>
      <c r="Q44" s="60">
        <v>0</v>
      </c>
      <c r="R44" s="61">
        <v>0</v>
      </c>
      <c r="S44" s="61"/>
      <c r="T44" s="61"/>
      <c r="U44" s="90"/>
    </row>
    <row r="45" spans="1:21" ht="20" customHeight="1" x14ac:dyDescent="0.15">
      <c r="A45" s="12">
        <v>4</v>
      </c>
      <c r="B45" s="63">
        <v>0</v>
      </c>
      <c r="C45" s="61">
        <v>0</v>
      </c>
      <c r="D45" s="61">
        <v>0</v>
      </c>
      <c r="E45" s="61"/>
      <c r="F45" s="90"/>
      <c r="G45" s="60">
        <v>0</v>
      </c>
      <c r="H45" s="61">
        <v>0</v>
      </c>
      <c r="I45" s="61">
        <v>0</v>
      </c>
      <c r="J45" s="61"/>
      <c r="K45" s="90"/>
      <c r="L45" s="60">
        <v>0</v>
      </c>
      <c r="M45" s="61">
        <v>0</v>
      </c>
      <c r="N45" s="61">
        <v>0</v>
      </c>
      <c r="O45" s="61"/>
      <c r="P45" s="90"/>
      <c r="Q45" s="60">
        <v>0</v>
      </c>
      <c r="R45" s="61">
        <v>0</v>
      </c>
      <c r="S45" s="61">
        <v>0</v>
      </c>
      <c r="T45" s="61"/>
      <c r="U45" s="90"/>
    </row>
    <row r="46" spans="1:21" ht="20" customHeight="1" x14ac:dyDescent="0.15">
      <c r="A46" s="12">
        <v>5</v>
      </c>
      <c r="B46" s="63">
        <v>0</v>
      </c>
      <c r="C46" s="61">
        <v>0</v>
      </c>
      <c r="D46" s="61"/>
      <c r="E46" s="61"/>
      <c r="F46" s="90"/>
      <c r="G46" s="60">
        <v>0</v>
      </c>
      <c r="H46" s="61">
        <v>0</v>
      </c>
      <c r="I46" s="61"/>
      <c r="J46" s="61"/>
      <c r="K46" s="90"/>
      <c r="L46" s="60">
        <v>0</v>
      </c>
      <c r="M46" s="61">
        <v>0</v>
      </c>
      <c r="N46" s="61"/>
      <c r="O46" s="61"/>
      <c r="P46" s="90"/>
      <c r="Q46" s="60">
        <v>0</v>
      </c>
      <c r="R46" s="61">
        <v>0</v>
      </c>
      <c r="S46" s="61"/>
      <c r="T46" s="61"/>
      <c r="U46" s="90"/>
    </row>
    <row r="47" spans="1:21" ht="20" customHeight="1" x14ac:dyDescent="0.15">
      <c r="A47" s="12">
        <v>6</v>
      </c>
      <c r="B47" s="63">
        <v>0</v>
      </c>
      <c r="C47" s="61">
        <v>0</v>
      </c>
      <c r="D47" s="61">
        <v>0</v>
      </c>
      <c r="E47" s="61"/>
      <c r="F47" s="90"/>
      <c r="G47" s="60">
        <v>0</v>
      </c>
      <c r="H47" s="61">
        <v>0</v>
      </c>
      <c r="I47" s="61">
        <v>0</v>
      </c>
      <c r="J47" s="61"/>
      <c r="K47" s="90"/>
      <c r="L47" s="60">
        <v>0</v>
      </c>
      <c r="M47" s="61">
        <v>0</v>
      </c>
      <c r="N47" s="61">
        <v>0</v>
      </c>
      <c r="O47" s="61"/>
      <c r="P47" s="90"/>
      <c r="Q47" s="60">
        <v>0</v>
      </c>
      <c r="R47" s="61">
        <v>0</v>
      </c>
      <c r="S47" s="61">
        <v>0</v>
      </c>
      <c r="T47" s="61"/>
      <c r="U47" s="90"/>
    </row>
    <row r="48" spans="1:21" ht="20" customHeight="1" x14ac:dyDescent="0.15">
      <c r="A48" s="12">
        <v>7</v>
      </c>
      <c r="B48" s="63">
        <v>0</v>
      </c>
      <c r="C48" s="61">
        <v>0</v>
      </c>
      <c r="D48" s="61"/>
      <c r="E48" s="61"/>
      <c r="F48" s="90"/>
      <c r="G48" s="60">
        <v>0</v>
      </c>
      <c r="H48" s="61">
        <v>0</v>
      </c>
      <c r="I48" s="61"/>
      <c r="J48" s="61"/>
      <c r="K48" s="90"/>
      <c r="L48" s="60">
        <v>0</v>
      </c>
      <c r="M48" s="61">
        <v>0</v>
      </c>
      <c r="N48" s="61"/>
      <c r="O48" s="61"/>
      <c r="P48" s="90"/>
      <c r="Q48" s="60">
        <v>0</v>
      </c>
      <c r="R48" s="61">
        <v>0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90"/>
      <c r="G49" s="60"/>
      <c r="H49" s="61">
        <f>-3217</f>
        <v>-3217</v>
      </c>
      <c r="I49" s="61">
        <f>1733</f>
        <v>1733</v>
      </c>
      <c r="J49" s="61">
        <f>1483</f>
        <v>1483</v>
      </c>
      <c r="K49" s="90"/>
      <c r="L49" s="60"/>
      <c r="M49" s="61">
        <v>0</v>
      </c>
      <c r="N49" s="61">
        <v>0</v>
      </c>
      <c r="O49" s="61">
        <v>0</v>
      </c>
      <c r="P49" s="90"/>
      <c r="Q49" s="60"/>
      <c r="R49" s="61">
        <v>0</v>
      </c>
      <c r="S49" s="61">
        <v>0</v>
      </c>
      <c r="T49" s="61">
        <v>0</v>
      </c>
      <c r="U49" s="9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90"/>
      <c r="G50" s="60">
        <v>0</v>
      </c>
      <c r="H50" s="61">
        <v>0</v>
      </c>
      <c r="I50" s="61"/>
      <c r="J50" s="61"/>
      <c r="K50" s="90"/>
      <c r="L50" s="60">
        <v>0</v>
      </c>
      <c r="M50" s="61">
        <v>0</v>
      </c>
      <c r="N50" s="61"/>
      <c r="O50" s="61"/>
      <c r="P50" s="90"/>
      <c r="Q50" s="60">
        <v>0</v>
      </c>
      <c r="R50" s="61">
        <v>0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90"/>
      <c r="G51" s="60"/>
      <c r="H51" s="61">
        <v>0</v>
      </c>
      <c r="I51" s="61">
        <v>0</v>
      </c>
      <c r="J51" s="61">
        <v>0</v>
      </c>
      <c r="K51" s="90"/>
      <c r="L51" s="60"/>
      <c r="M51" s="61">
        <v>0</v>
      </c>
      <c r="N51" s="61">
        <v>0</v>
      </c>
      <c r="O51" s="61">
        <v>0</v>
      </c>
      <c r="P51" s="90"/>
      <c r="Q51" s="60"/>
      <c r="R51" s="61">
        <v>0</v>
      </c>
      <c r="S51" s="61">
        <v>0</v>
      </c>
      <c r="T51" s="61">
        <v>0</v>
      </c>
      <c r="U51" s="9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90"/>
      <c r="G52" s="60">
        <v>0</v>
      </c>
      <c r="H52" s="61">
        <v>0</v>
      </c>
      <c r="I52" s="61"/>
      <c r="J52" s="61"/>
      <c r="K52" s="90"/>
      <c r="L52" s="60">
        <v>0</v>
      </c>
      <c r="M52" s="61">
        <v>0</v>
      </c>
      <c r="N52" s="61"/>
      <c r="O52" s="61"/>
      <c r="P52" s="90"/>
      <c r="Q52" s="60">
        <v>0</v>
      </c>
      <c r="R52" s="61">
        <v>0</v>
      </c>
      <c r="S52" s="61"/>
      <c r="T52" s="61"/>
      <c r="U52" s="9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90"/>
      <c r="G53" s="60">
        <v>0</v>
      </c>
      <c r="H53" s="61">
        <v>0</v>
      </c>
      <c r="I53" s="61">
        <v>0</v>
      </c>
      <c r="J53" s="61"/>
      <c r="K53" s="90"/>
      <c r="L53" s="60">
        <v>0</v>
      </c>
      <c r="M53" s="61">
        <v>0</v>
      </c>
      <c r="N53" s="61">
        <v>0</v>
      </c>
      <c r="O53" s="61"/>
      <c r="P53" s="90"/>
      <c r="Q53" s="60">
        <v>0</v>
      </c>
      <c r="R53" s="61">
        <v>0</v>
      </c>
      <c r="S53" s="61">
        <v>0</v>
      </c>
      <c r="T53" s="61"/>
      <c r="U53" s="9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90"/>
      <c r="G54" s="60">
        <v>0</v>
      </c>
      <c r="H54" s="61">
        <v>0</v>
      </c>
      <c r="I54" s="61"/>
      <c r="J54" s="61"/>
      <c r="K54" s="90"/>
      <c r="L54" s="60">
        <v>0</v>
      </c>
      <c r="M54" s="61">
        <v>0</v>
      </c>
      <c r="N54" s="61"/>
      <c r="O54" s="61"/>
      <c r="P54" s="90"/>
      <c r="Q54" s="60">
        <v>0</v>
      </c>
      <c r="R54" s="61">
        <v>0</v>
      </c>
      <c r="S54" s="61"/>
      <c r="T54" s="61"/>
      <c r="U54" s="9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90"/>
      <c r="G55" s="60">
        <v>0</v>
      </c>
      <c r="H55" s="61">
        <v>0</v>
      </c>
      <c r="I55" s="61">
        <v>0</v>
      </c>
      <c r="J55" s="61"/>
      <c r="K55" s="90"/>
      <c r="L55" s="60">
        <v>0</v>
      </c>
      <c r="M55" s="61">
        <v>0</v>
      </c>
      <c r="N55" s="61">
        <v>0</v>
      </c>
      <c r="O55" s="61"/>
      <c r="P55" s="90"/>
      <c r="Q55" s="60">
        <v>0</v>
      </c>
      <c r="R55" s="61">
        <v>0</v>
      </c>
      <c r="S55" s="61">
        <v>0</v>
      </c>
      <c r="T55" s="61"/>
      <c r="U55" s="9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90"/>
      <c r="G56" s="60">
        <f>4700</f>
        <v>4700</v>
      </c>
      <c r="H56" s="61">
        <f>-4700</f>
        <v>-4700</v>
      </c>
      <c r="I56" s="61"/>
      <c r="J56" s="61"/>
      <c r="K56" s="90"/>
      <c r="L56" s="60">
        <v>0</v>
      </c>
      <c r="M56" s="61">
        <v>0</v>
      </c>
      <c r="N56" s="61"/>
      <c r="O56" s="61"/>
      <c r="P56" s="90"/>
      <c r="Q56" s="60">
        <v>0</v>
      </c>
      <c r="R56" s="61">
        <v>0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90"/>
      <c r="G57" s="60"/>
      <c r="H57" s="61">
        <v>0</v>
      </c>
      <c r="I57" s="61">
        <v>0</v>
      </c>
      <c r="J57" s="61"/>
      <c r="K57" s="90"/>
      <c r="L57" s="60"/>
      <c r="M57" s="61">
        <v>0</v>
      </c>
      <c r="N57" s="61">
        <v>0</v>
      </c>
      <c r="O57" s="61"/>
      <c r="P57" s="90"/>
      <c r="Q57" s="60"/>
      <c r="R57" s="61">
        <v>0</v>
      </c>
      <c r="S57" s="61">
        <v>0</v>
      </c>
      <c r="T57" s="61"/>
      <c r="U57" s="9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90"/>
      <c r="G58" s="60">
        <v>0</v>
      </c>
      <c r="H58" s="61">
        <v>0</v>
      </c>
      <c r="I58" s="61"/>
      <c r="J58" s="61"/>
      <c r="K58" s="90"/>
      <c r="L58" s="60">
        <v>0</v>
      </c>
      <c r="M58" s="61">
        <v>0</v>
      </c>
      <c r="N58" s="61"/>
      <c r="O58" s="61"/>
      <c r="P58" s="90"/>
      <c r="Q58" s="60">
        <v>0</v>
      </c>
      <c r="R58" s="61">
        <v>0</v>
      </c>
      <c r="S58" s="61"/>
      <c r="T58" s="61"/>
      <c r="U58" s="9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90"/>
      <c r="G59" s="60">
        <v>0</v>
      </c>
      <c r="H59" s="61">
        <v>0</v>
      </c>
      <c r="I59" s="61"/>
      <c r="J59" s="61"/>
      <c r="K59" s="90"/>
      <c r="L59" s="60">
        <v>0</v>
      </c>
      <c r="M59" s="61">
        <v>0</v>
      </c>
      <c r="N59" s="61"/>
      <c r="O59" s="61"/>
      <c r="P59" s="90"/>
      <c r="Q59" s="60">
        <v>0</v>
      </c>
      <c r="R59" s="61">
        <v>0</v>
      </c>
      <c r="S59" s="61"/>
      <c r="T59" s="61"/>
      <c r="U59" s="9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90"/>
      <c r="G60" s="60">
        <v>0</v>
      </c>
      <c r="H60" s="61">
        <v>0</v>
      </c>
      <c r="I60" s="61"/>
      <c r="J60" s="61"/>
      <c r="K60" s="90"/>
      <c r="L60" s="60">
        <v>0</v>
      </c>
      <c r="M60" s="61">
        <v>0</v>
      </c>
      <c r="N60" s="61"/>
      <c r="O60" s="61"/>
      <c r="P60" s="90"/>
      <c r="Q60" s="60">
        <v>0</v>
      </c>
      <c r="R60" s="61">
        <v>0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v>0</v>
      </c>
      <c r="D61" s="61">
        <v>0</v>
      </c>
      <c r="E61" s="61"/>
      <c r="F61" s="90"/>
      <c r="G61" s="60"/>
      <c r="H61" s="61">
        <v>0</v>
      </c>
      <c r="I61" s="61">
        <v>0</v>
      </c>
      <c r="J61" s="61"/>
      <c r="K61" s="90"/>
      <c r="L61" s="60"/>
      <c r="M61" s="61">
        <v>0</v>
      </c>
      <c r="N61" s="61">
        <v>0</v>
      </c>
      <c r="O61" s="61"/>
      <c r="P61" s="90"/>
      <c r="Q61" s="60"/>
      <c r="R61" s="61">
        <v>0</v>
      </c>
      <c r="S61" s="61">
        <v>0</v>
      </c>
      <c r="T61" s="61"/>
      <c r="U61" s="90"/>
    </row>
    <row r="62" spans="1:21" ht="20" customHeight="1" x14ac:dyDescent="0.15">
      <c r="A62" s="12">
        <v>21</v>
      </c>
      <c r="B62" s="63">
        <v>0</v>
      </c>
      <c r="C62" s="61">
        <v>0</v>
      </c>
      <c r="D62" s="61"/>
      <c r="E62" s="61"/>
      <c r="F62" s="90"/>
      <c r="G62" s="60">
        <v>0</v>
      </c>
      <c r="H62" s="61">
        <v>0</v>
      </c>
      <c r="I62" s="61"/>
      <c r="J62" s="61"/>
      <c r="K62" s="90"/>
      <c r="L62" s="60">
        <v>0</v>
      </c>
      <c r="M62" s="61">
        <v>0</v>
      </c>
      <c r="N62" s="61"/>
      <c r="O62" s="61"/>
      <c r="P62" s="90"/>
      <c r="Q62" s="60">
        <v>0</v>
      </c>
      <c r="R62" s="61">
        <v>0</v>
      </c>
      <c r="S62" s="61"/>
      <c r="T62" s="61"/>
      <c r="U62" s="90"/>
    </row>
    <row r="63" spans="1:21" ht="20" customHeight="1" x14ac:dyDescent="0.15">
      <c r="A63" s="12">
        <v>22</v>
      </c>
      <c r="B63" s="63">
        <v>0</v>
      </c>
      <c r="C63" s="61">
        <v>0</v>
      </c>
      <c r="D63" s="61"/>
      <c r="E63" s="61"/>
      <c r="F63" s="90"/>
      <c r="G63" s="60">
        <v>0</v>
      </c>
      <c r="H63" s="61">
        <v>0</v>
      </c>
      <c r="I63" s="61"/>
      <c r="J63" s="61"/>
      <c r="K63" s="90"/>
      <c r="L63" s="60">
        <v>0</v>
      </c>
      <c r="M63" s="61">
        <v>0</v>
      </c>
      <c r="N63" s="61"/>
      <c r="O63" s="61"/>
      <c r="P63" s="90"/>
      <c r="Q63" s="60">
        <v>0</v>
      </c>
      <c r="R63" s="61">
        <v>0</v>
      </c>
      <c r="S63" s="61"/>
      <c r="T63" s="61"/>
      <c r="U63" s="90"/>
    </row>
    <row r="64" spans="1:21" ht="20" customHeight="1" x14ac:dyDescent="0.15">
      <c r="A64" s="12">
        <v>23</v>
      </c>
      <c r="B64" s="63">
        <v>0</v>
      </c>
      <c r="C64" s="61">
        <v>0</v>
      </c>
      <c r="D64" s="61"/>
      <c r="E64" s="61"/>
      <c r="F64" s="90"/>
      <c r="G64" s="60">
        <v>0</v>
      </c>
      <c r="H64" s="61">
        <v>0</v>
      </c>
      <c r="I64" s="61"/>
      <c r="J64" s="61"/>
      <c r="K64" s="90"/>
      <c r="L64" s="60">
        <v>0</v>
      </c>
      <c r="M64" s="61">
        <v>0</v>
      </c>
      <c r="N64" s="61"/>
      <c r="O64" s="61"/>
      <c r="P64" s="90"/>
      <c r="Q64" s="60">
        <v>0</v>
      </c>
      <c r="R64" s="61">
        <v>0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v>0</v>
      </c>
      <c r="D65" s="61">
        <v>0</v>
      </c>
      <c r="E65" s="61"/>
      <c r="F65" s="90"/>
      <c r="G65" s="60"/>
      <c r="H65" s="61">
        <v>0</v>
      </c>
      <c r="I65" s="61">
        <v>0</v>
      </c>
      <c r="J65" s="61"/>
      <c r="K65" s="90"/>
      <c r="L65" s="60"/>
      <c r="M65" s="61">
        <v>0</v>
      </c>
      <c r="N65" s="61">
        <v>0</v>
      </c>
      <c r="O65" s="61"/>
      <c r="P65" s="90"/>
      <c r="Q65" s="60"/>
      <c r="R65" s="61">
        <v>0</v>
      </c>
      <c r="S65" s="61">
        <v>0</v>
      </c>
      <c r="T65" s="61"/>
      <c r="U65" s="90"/>
    </row>
    <row r="66" spans="1:21" ht="20" customHeight="1" x14ac:dyDescent="0.15">
      <c r="A66" s="12">
        <v>25</v>
      </c>
      <c r="B66" s="63">
        <v>0</v>
      </c>
      <c r="C66" s="61">
        <v>0</v>
      </c>
      <c r="D66" s="61"/>
      <c r="E66" s="61"/>
      <c r="F66" s="90"/>
      <c r="G66" s="60">
        <v>0</v>
      </c>
      <c r="H66" s="61">
        <v>0</v>
      </c>
      <c r="I66" s="61"/>
      <c r="J66" s="61"/>
      <c r="K66" s="90"/>
      <c r="L66" s="60">
        <v>0</v>
      </c>
      <c r="M66" s="61">
        <v>0</v>
      </c>
      <c r="N66" s="61"/>
      <c r="O66" s="61"/>
      <c r="P66" s="90"/>
      <c r="Q66" s="60">
        <v>0</v>
      </c>
      <c r="R66" s="61">
        <v>0</v>
      </c>
      <c r="S66" s="61"/>
      <c r="T66" s="61"/>
      <c r="U66" s="90"/>
    </row>
    <row r="67" spans="1:21" ht="20" customHeight="1" x14ac:dyDescent="0.15">
      <c r="A67" s="12">
        <v>26</v>
      </c>
      <c r="B67" s="63">
        <v>0</v>
      </c>
      <c r="C67" s="61">
        <v>0</v>
      </c>
      <c r="D67" s="61"/>
      <c r="E67" s="61"/>
      <c r="F67" s="90"/>
      <c r="G67" s="60">
        <v>0</v>
      </c>
      <c r="H67" s="61">
        <v>0</v>
      </c>
      <c r="I67" s="61"/>
      <c r="J67" s="61"/>
      <c r="K67" s="90"/>
      <c r="L67" s="60">
        <v>0</v>
      </c>
      <c r="M67" s="61">
        <v>0</v>
      </c>
      <c r="N67" s="61"/>
      <c r="O67" s="61"/>
      <c r="P67" s="90"/>
      <c r="Q67" s="60">
        <v>0</v>
      </c>
      <c r="R67" s="61">
        <v>0</v>
      </c>
      <c r="S67" s="61"/>
      <c r="T67" s="61"/>
      <c r="U67" s="90"/>
    </row>
    <row r="68" spans="1:21" ht="20.75" customHeight="1" thickBot="1" x14ac:dyDescent="0.2">
      <c r="A68" s="17">
        <v>27</v>
      </c>
      <c r="B68" s="93">
        <v>0</v>
      </c>
      <c r="C68" s="83">
        <v>0</v>
      </c>
      <c r="D68" s="83"/>
      <c r="E68" s="83"/>
      <c r="F68" s="94"/>
      <c r="G68" s="82">
        <v>0</v>
      </c>
      <c r="H68" s="83">
        <v>0</v>
      </c>
      <c r="I68" s="83"/>
      <c r="J68" s="83"/>
      <c r="K68" s="94"/>
      <c r="L68" s="82">
        <v>0</v>
      </c>
      <c r="M68" s="83">
        <v>0</v>
      </c>
      <c r="N68" s="83"/>
      <c r="O68" s="83"/>
      <c r="P68" s="94"/>
      <c r="Q68" s="82">
        <v>0</v>
      </c>
      <c r="R68" s="83">
        <v>0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v>0</v>
      </c>
      <c r="D69" s="68">
        <v>0</v>
      </c>
      <c r="E69" s="67"/>
      <c r="F69" s="86"/>
      <c r="G69" s="87"/>
      <c r="H69" s="68">
        <v>0</v>
      </c>
      <c r="I69" s="68">
        <v>0</v>
      </c>
      <c r="J69" s="67"/>
      <c r="K69" s="86"/>
      <c r="L69" s="87"/>
      <c r="M69" s="68">
        <v>0</v>
      </c>
      <c r="N69" s="68">
        <v>0</v>
      </c>
      <c r="O69" s="67"/>
      <c r="P69" s="86"/>
      <c r="Q69" s="87"/>
      <c r="R69" s="68">
        <v>0</v>
      </c>
      <c r="S69" s="68">
        <v>0</v>
      </c>
      <c r="T69" s="67"/>
      <c r="U69" s="86"/>
    </row>
    <row r="70" spans="1:21" ht="20" customHeight="1" x14ac:dyDescent="0.15">
      <c r="A70" s="12">
        <v>1</v>
      </c>
      <c r="B70" s="63">
        <v>0</v>
      </c>
      <c r="C70" s="61">
        <v>0</v>
      </c>
      <c r="D70" s="61"/>
      <c r="E70" s="62"/>
      <c r="F70" s="90"/>
      <c r="G70" s="60">
        <v>0</v>
      </c>
      <c r="H70" s="61">
        <v>0</v>
      </c>
      <c r="I70" s="61"/>
      <c r="J70" s="62"/>
      <c r="K70" s="90"/>
      <c r="L70" s="60">
        <v>0</v>
      </c>
      <c r="M70" s="61">
        <v>0</v>
      </c>
      <c r="N70" s="61"/>
      <c r="O70" s="62"/>
      <c r="P70" s="90"/>
      <c r="Q70" s="60">
        <v>0</v>
      </c>
      <c r="R70" s="61">
        <v>0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v>0</v>
      </c>
      <c r="D71" s="61">
        <v>0</v>
      </c>
      <c r="E71" s="62"/>
      <c r="F71" s="90"/>
      <c r="G71" s="60"/>
      <c r="H71" s="61">
        <v>0</v>
      </c>
      <c r="I71" s="61">
        <v>0</v>
      </c>
      <c r="J71" s="62"/>
      <c r="K71" s="90"/>
      <c r="L71" s="60"/>
      <c r="M71" s="61">
        <v>0</v>
      </c>
      <c r="N71" s="61">
        <v>0</v>
      </c>
      <c r="O71" s="62"/>
      <c r="P71" s="90"/>
      <c r="Q71" s="60"/>
      <c r="R71" s="61">
        <v>0</v>
      </c>
      <c r="S71" s="61">
        <v>0</v>
      </c>
      <c r="T71" s="62"/>
      <c r="U71" s="90"/>
    </row>
    <row r="72" spans="1:21" ht="20" customHeight="1" x14ac:dyDescent="0.15">
      <c r="A72" s="12">
        <v>3</v>
      </c>
      <c r="B72" s="63">
        <v>0</v>
      </c>
      <c r="C72" s="61">
        <v>0</v>
      </c>
      <c r="D72" s="61"/>
      <c r="E72" s="62"/>
      <c r="F72" s="90"/>
      <c r="G72" s="60">
        <v>0</v>
      </c>
      <c r="H72" s="61">
        <v>0</v>
      </c>
      <c r="I72" s="61"/>
      <c r="J72" s="62"/>
      <c r="K72" s="90"/>
      <c r="L72" s="60">
        <v>0</v>
      </c>
      <c r="M72" s="61">
        <v>0</v>
      </c>
      <c r="N72" s="61"/>
      <c r="O72" s="62"/>
      <c r="P72" s="90"/>
      <c r="Q72" s="60">
        <v>0</v>
      </c>
      <c r="R72" s="61">
        <v>0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v>0</v>
      </c>
      <c r="D73" s="61">
        <v>0</v>
      </c>
      <c r="E73" s="62"/>
      <c r="F73" s="90"/>
      <c r="G73" s="60"/>
      <c r="H73" s="61">
        <v>0</v>
      </c>
      <c r="I73" s="61">
        <v>0</v>
      </c>
      <c r="J73" s="62"/>
      <c r="K73" s="90"/>
      <c r="L73" s="60"/>
      <c r="M73" s="61">
        <v>0</v>
      </c>
      <c r="N73" s="61">
        <v>0</v>
      </c>
      <c r="O73" s="62"/>
      <c r="P73" s="90"/>
      <c r="Q73" s="60"/>
      <c r="R73" s="61">
        <v>0</v>
      </c>
      <c r="S73" s="61">
        <v>0</v>
      </c>
      <c r="T73" s="62"/>
      <c r="U73" s="90"/>
    </row>
    <row r="74" spans="1:21" ht="20" customHeight="1" x14ac:dyDescent="0.15">
      <c r="A74" s="12">
        <v>5</v>
      </c>
      <c r="B74" s="63">
        <v>0</v>
      </c>
      <c r="C74" s="61">
        <v>0</v>
      </c>
      <c r="D74" s="61"/>
      <c r="E74" s="62"/>
      <c r="F74" s="90"/>
      <c r="G74" s="60">
        <v>0</v>
      </c>
      <c r="H74" s="61">
        <v>0</v>
      </c>
      <c r="I74" s="61"/>
      <c r="J74" s="62"/>
      <c r="K74" s="90"/>
      <c r="L74" s="60">
        <v>0</v>
      </c>
      <c r="M74" s="61">
        <v>0</v>
      </c>
      <c r="N74" s="61"/>
      <c r="O74" s="62"/>
      <c r="P74" s="90"/>
      <c r="Q74" s="60">
        <v>0</v>
      </c>
      <c r="R74" s="61">
        <v>0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v>0</v>
      </c>
      <c r="D75" s="61">
        <v>0</v>
      </c>
      <c r="E75" s="62"/>
      <c r="F75" s="90"/>
      <c r="G75" s="60"/>
      <c r="H75" s="61">
        <v>0</v>
      </c>
      <c r="I75" s="61">
        <v>0</v>
      </c>
      <c r="J75" s="62"/>
      <c r="K75" s="90"/>
      <c r="L75" s="60"/>
      <c r="M75" s="61">
        <v>0</v>
      </c>
      <c r="N75" s="61">
        <v>0</v>
      </c>
      <c r="O75" s="62"/>
      <c r="P75" s="90"/>
      <c r="Q75" s="60"/>
      <c r="R75" s="61">
        <v>0</v>
      </c>
      <c r="S75" s="61">
        <v>0</v>
      </c>
      <c r="T75" s="62"/>
      <c r="U75" s="90"/>
    </row>
    <row r="76" spans="1:21" ht="20" customHeight="1" x14ac:dyDescent="0.15">
      <c r="A76" s="12">
        <v>7</v>
      </c>
      <c r="B76" s="63">
        <v>0</v>
      </c>
      <c r="C76" s="61">
        <v>0</v>
      </c>
      <c r="D76" s="61"/>
      <c r="E76" s="62"/>
      <c r="F76" s="90"/>
      <c r="G76" s="60">
        <v>0</v>
      </c>
      <c r="H76" s="61">
        <v>0</v>
      </c>
      <c r="I76" s="61"/>
      <c r="J76" s="62"/>
      <c r="K76" s="90"/>
      <c r="L76" s="60">
        <v>0</v>
      </c>
      <c r="M76" s="61">
        <v>0</v>
      </c>
      <c r="N76" s="61"/>
      <c r="O76" s="62"/>
      <c r="P76" s="90"/>
      <c r="Q76" s="60">
        <v>0</v>
      </c>
      <c r="R76" s="61">
        <v>0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v>0</v>
      </c>
      <c r="D77" s="61">
        <v>0</v>
      </c>
      <c r="E77" s="62"/>
      <c r="F77" s="90"/>
      <c r="G77" s="60"/>
      <c r="H77" s="61">
        <v>0</v>
      </c>
      <c r="I77" s="61">
        <v>0</v>
      </c>
      <c r="J77" s="62"/>
      <c r="K77" s="90"/>
      <c r="L77" s="60"/>
      <c r="M77" s="61">
        <v>0</v>
      </c>
      <c r="N77" s="61">
        <v>0</v>
      </c>
      <c r="O77" s="62"/>
      <c r="P77" s="90"/>
      <c r="Q77" s="60"/>
      <c r="R77" s="61">
        <v>0</v>
      </c>
      <c r="S77" s="61">
        <v>0</v>
      </c>
      <c r="T77" s="62"/>
      <c r="U77" s="90"/>
    </row>
    <row r="78" spans="1:21" ht="20" customHeight="1" x14ac:dyDescent="0.15">
      <c r="A78" s="12">
        <v>9</v>
      </c>
      <c r="B78" s="63">
        <v>0</v>
      </c>
      <c r="C78" s="61">
        <v>0</v>
      </c>
      <c r="D78" s="61"/>
      <c r="E78" s="62"/>
      <c r="F78" s="90"/>
      <c r="G78" s="60">
        <v>0</v>
      </c>
      <c r="H78" s="61">
        <v>0</v>
      </c>
      <c r="I78" s="61"/>
      <c r="J78" s="62"/>
      <c r="K78" s="90"/>
      <c r="L78" s="60">
        <v>0</v>
      </c>
      <c r="M78" s="61">
        <v>0</v>
      </c>
      <c r="N78" s="61"/>
      <c r="O78" s="62"/>
      <c r="P78" s="90"/>
      <c r="Q78" s="60">
        <v>0</v>
      </c>
      <c r="R78" s="61">
        <v>0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v>0</v>
      </c>
      <c r="D79" s="61">
        <v>0</v>
      </c>
      <c r="E79" s="62"/>
      <c r="F79" s="90"/>
      <c r="G79" s="60"/>
      <c r="H79" s="61">
        <v>0</v>
      </c>
      <c r="I79" s="61">
        <v>0</v>
      </c>
      <c r="J79" s="62"/>
      <c r="K79" s="90"/>
      <c r="L79" s="60"/>
      <c r="M79" s="61">
        <v>0</v>
      </c>
      <c r="N79" s="61">
        <v>0</v>
      </c>
      <c r="O79" s="62"/>
      <c r="P79" s="90"/>
      <c r="Q79" s="60"/>
      <c r="R79" s="61">
        <v>0</v>
      </c>
      <c r="S79" s="61">
        <v>0</v>
      </c>
      <c r="T79" s="62"/>
      <c r="U79" s="90"/>
    </row>
    <row r="80" spans="1:21" ht="20" customHeight="1" x14ac:dyDescent="0.15">
      <c r="A80" s="12">
        <v>11</v>
      </c>
      <c r="B80" s="63">
        <v>0</v>
      </c>
      <c r="C80" s="61">
        <v>0</v>
      </c>
      <c r="D80" s="61"/>
      <c r="E80" s="62"/>
      <c r="F80" s="90"/>
      <c r="G80" s="60">
        <v>0</v>
      </c>
      <c r="H80" s="61">
        <v>0</v>
      </c>
      <c r="I80" s="61"/>
      <c r="J80" s="62"/>
      <c r="K80" s="90"/>
      <c r="L80" s="60">
        <v>0</v>
      </c>
      <c r="M80" s="61">
        <v>0</v>
      </c>
      <c r="N80" s="61"/>
      <c r="O80" s="62"/>
      <c r="P80" s="90"/>
      <c r="Q80" s="60">
        <v>0</v>
      </c>
      <c r="R80" s="61">
        <v>0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v>0</v>
      </c>
      <c r="D81" s="61">
        <v>0</v>
      </c>
      <c r="E81" s="62"/>
      <c r="F81" s="90"/>
      <c r="G81" s="60"/>
      <c r="H81" s="61">
        <v>0</v>
      </c>
      <c r="I81" s="61">
        <v>0</v>
      </c>
      <c r="J81" s="62"/>
      <c r="K81" s="90"/>
      <c r="L81" s="60"/>
      <c r="M81" s="61">
        <f>-4950</f>
        <v>-4950</v>
      </c>
      <c r="N81" s="61">
        <f>4950</f>
        <v>4950</v>
      </c>
      <c r="O81" s="62"/>
      <c r="P81" s="90"/>
      <c r="Q81" s="60"/>
      <c r="R81" s="61">
        <v>0</v>
      </c>
      <c r="S81" s="61">
        <v>0</v>
      </c>
      <c r="T81" s="62"/>
      <c r="U81" s="90"/>
    </row>
    <row r="82" spans="1:21" ht="20" customHeight="1" x14ac:dyDescent="0.15">
      <c r="A82" s="12">
        <v>13</v>
      </c>
      <c r="B82" s="63">
        <v>0</v>
      </c>
      <c r="C82" s="61">
        <v>0</v>
      </c>
      <c r="D82" s="61"/>
      <c r="E82" s="62"/>
      <c r="F82" s="90"/>
      <c r="G82" s="60">
        <v>0</v>
      </c>
      <c r="H82" s="61">
        <v>0</v>
      </c>
      <c r="I82" s="61"/>
      <c r="J82" s="62"/>
      <c r="K82" s="90"/>
      <c r="L82" s="60">
        <v>0</v>
      </c>
      <c r="M82" s="61">
        <v>0</v>
      </c>
      <c r="N82" s="61"/>
      <c r="O82" s="62"/>
      <c r="P82" s="90"/>
      <c r="Q82" s="60">
        <v>0</v>
      </c>
      <c r="R82" s="61">
        <v>0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v>0</v>
      </c>
      <c r="D83" s="61">
        <v>0</v>
      </c>
      <c r="E83" s="62"/>
      <c r="F83" s="90"/>
      <c r="G83" s="60"/>
      <c r="H83" s="61">
        <v>0</v>
      </c>
      <c r="I83" s="61">
        <v>0</v>
      </c>
      <c r="J83" s="62"/>
      <c r="K83" s="90"/>
      <c r="L83" s="60"/>
      <c r="M83" s="61">
        <v>0</v>
      </c>
      <c r="N83" s="61">
        <v>0</v>
      </c>
      <c r="O83" s="62"/>
      <c r="P83" s="90"/>
      <c r="Q83" s="60"/>
      <c r="R83" s="61">
        <v>0</v>
      </c>
      <c r="S83" s="61">
        <v>0</v>
      </c>
      <c r="T83" s="62"/>
      <c r="U83" s="90"/>
    </row>
    <row r="84" spans="1:21" ht="20" customHeight="1" x14ac:dyDescent="0.15">
      <c r="A84" s="12">
        <v>15</v>
      </c>
      <c r="B84" s="63">
        <v>0</v>
      </c>
      <c r="C84" s="61">
        <v>0</v>
      </c>
      <c r="D84" s="61"/>
      <c r="E84" s="62"/>
      <c r="F84" s="90"/>
      <c r="G84" s="60">
        <v>0</v>
      </c>
      <c r="H84" s="61">
        <v>0</v>
      </c>
      <c r="I84" s="61"/>
      <c r="J84" s="62"/>
      <c r="K84" s="90"/>
      <c r="L84" s="60">
        <v>0</v>
      </c>
      <c r="M84" s="61">
        <v>0</v>
      </c>
      <c r="N84" s="61"/>
      <c r="O84" s="62"/>
      <c r="P84" s="90"/>
      <c r="Q84" s="60">
        <v>0</v>
      </c>
      <c r="R84" s="61">
        <v>0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v>0</v>
      </c>
      <c r="D85" s="61">
        <v>0</v>
      </c>
      <c r="E85" s="62"/>
      <c r="F85" s="90"/>
      <c r="G85" s="60"/>
      <c r="H85" s="61">
        <v>0</v>
      </c>
      <c r="I85" s="61">
        <v>0</v>
      </c>
      <c r="J85" s="62"/>
      <c r="K85" s="90"/>
      <c r="L85" s="60"/>
      <c r="M85" s="61">
        <v>0</v>
      </c>
      <c r="N85" s="61">
        <v>0</v>
      </c>
      <c r="O85" s="62"/>
      <c r="P85" s="90"/>
      <c r="Q85" s="60"/>
      <c r="R85" s="61">
        <v>0</v>
      </c>
      <c r="S85" s="61">
        <v>0</v>
      </c>
      <c r="T85" s="62"/>
      <c r="U85" s="9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90"/>
      <c r="G86" s="60">
        <v>0</v>
      </c>
      <c r="H86" s="61">
        <v>0</v>
      </c>
      <c r="I86" s="61"/>
      <c r="J86" s="62"/>
      <c r="K86" s="90"/>
      <c r="L86" s="60">
        <v>0</v>
      </c>
      <c r="M86" s="61">
        <v>0</v>
      </c>
      <c r="N86" s="61"/>
      <c r="O86" s="62"/>
      <c r="P86" s="90"/>
      <c r="Q86" s="60">
        <v>0</v>
      </c>
      <c r="R86" s="61">
        <v>0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90"/>
      <c r="G87" s="60"/>
      <c r="H87" s="61">
        <v>0</v>
      </c>
      <c r="I87" s="61">
        <v>0</v>
      </c>
      <c r="J87" s="62"/>
      <c r="K87" s="90"/>
      <c r="L87" s="60"/>
      <c r="M87" s="61">
        <v>0</v>
      </c>
      <c r="N87" s="61">
        <v>0</v>
      </c>
      <c r="O87" s="62"/>
      <c r="P87" s="90"/>
      <c r="Q87" s="60"/>
      <c r="R87" s="61">
        <v>0</v>
      </c>
      <c r="S87" s="61">
        <v>0</v>
      </c>
      <c r="T87" s="62"/>
      <c r="U87" s="9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90"/>
      <c r="G88" s="60">
        <v>0</v>
      </c>
      <c r="H88" s="61">
        <v>0</v>
      </c>
      <c r="I88" s="61"/>
      <c r="J88" s="62"/>
      <c r="K88" s="90"/>
      <c r="L88" s="60">
        <v>0</v>
      </c>
      <c r="M88" s="61">
        <v>0</v>
      </c>
      <c r="N88" s="61"/>
      <c r="O88" s="62"/>
      <c r="P88" s="90"/>
      <c r="Q88" s="60">
        <v>0</v>
      </c>
      <c r="R88" s="61">
        <v>0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90"/>
      <c r="G89" s="60"/>
      <c r="H89" s="61">
        <v>0</v>
      </c>
      <c r="I89" s="61">
        <v>0</v>
      </c>
      <c r="J89" s="62"/>
      <c r="K89" s="90"/>
      <c r="L89" s="60"/>
      <c r="M89" s="61">
        <v>0</v>
      </c>
      <c r="N89" s="61">
        <v>0</v>
      </c>
      <c r="O89" s="62"/>
      <c r="P89" s="90"/>
      <c r="Q89" s="60"/>
      <c r="R89" s="61">
        <v>0</v>
      </c>
      <c r="S89" s="61">
        <v>0</v>
      </c>
      <c r="T89" s="62"/>
      <c r="U89" s="9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90"/>
      <c r="G90" s="60">
        <v>0</v>
      </c>
      <c r="H90" s="61">
        <v>0</v>
      </c>
      <c r="I90" s="61"/>
      <c r="J90" s="62"/>
      <c r="K90" s="90"/>
      <c r="L90" s="60">
        <v>0</v>
      </c>
      <c r="M90" s="61">
        <v>0</v>
      </c>
      <c r="N90" s="61"/>
      <c r="O90" s="62"/>
      <c r="P90" s="90"/>
      <c r="Q90" s="60">
        <v>0</v>
      </c>
      <c r="R90" s="61">
        <v>0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90"/>
      <c r="G91" s="60"/>
      <c r="H91" s="61">
        <v>0</v>
      </c>
      <c r="I91" s="61">
        <v>0</v>
      </c>
      <c r="J91" s="62"/>
      <c r="K91" s="90"/>
      <c r="L91" s="60"/>
      <c r="M91" s="61">
        <v>0</v>
      </c>
      <c r="N91" s="61">
        <v>0</v>
      </c>
      <c r="O91" s="62"/>
      <c r="P91" s="90"/>
      <c r="Q91" s="60"/>
      <c r="R91" s="61">
        <v>0</v>
      </c>
      <c r="S91" s="61">
        <v>0</v>
      </c>
      <c r="T91" s="62"/>
      <c r="U91" s="9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90"/>
      <c r="G92" s="60">
        <v>0</v>
      </c>
      <c r="H92" s="61">
        <v>0</v>
      </c>
      <c r="I92" s="61"/>
      <c r="J92" s="62"/>
      <c r="K92" s="90"/>
      <c r="L92" s="60">
        <v>0</v>
      </c>
      <c r="M92" s="61">
        <v>0</v>
      </c>
      <c r="N92" s="61"/>
      <c r="O92" s="62"/>
      <c r="P92" s="90"/>
      <c r="Q92" s="60">
        <v>0</v>
      </c>
      <c r="R92" s="61">
        <v>0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90"/>
      <c r="G93" s="60"/>
      <c r="H93" s="61">
        <v>0</v>
      </c>
      <c r="I93" s="61">
        <v>0</v>
      </c>
      <c r="J93" s="62"/>
      <c r="K93" s="90"/>
      <c r="L93" s="60"/>
      <c r="M93" s="61">
        <v>0</v>
      </c>
      <c r="N93" s="61">
        <v>0</v>
      </c>
      <c r="O93" s="62"/>
      <c r="P93" s="90"/>
      <c r="Q93" s="60"/>
      <c r="R93" s="61">
        <v>0</v>
      </c>
      <c r="S93" s="61">
        <v>0</v>
      </c>
      <c r="T93" s="62"/>
      <c r="U93" s="9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90"/>
      <c r="G94" s="60">
        <v>0</v>
      </c>
      <c r="H94" s="61">
        <v>0</v>
      </c>
      <c r="I94" s="61"/>
      <c r="J94" s="62"/>
      <c r="K94" s="90"/>
      <c r="L94" s="60">
        <v>0</v>
      </c>
      <c r="M94" s="61">
        <v>0</v>
      </c>
      <c r="N94" s="61"/>
      <c r="O94" s="62"/>
      <c r="P94" s="90"/>
      <c r="Q94" s="60">
        <v>0</v>
      </c>
      <c r="R94" s="61">
        <v>0</v>
      </c>
      <c r="S94" s="61"/>
      <c r="T94" s="62"/>
      <c r="U94" s="9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90"/>
      <c r="G95" s="60">
        <v>0</v>
      </c>
      <c r="H95" s="61">
        <v>0</v>
      </c>
      <c r="I95" s="61"/>
      <c r="J95" s="62"/>
      <c r="K95" s="90"/>
      <c r="L95" s="60">
        <v>0</v>
      </c>
      <c r="M95" s="61">
        <v>0</v>
      </c>
      <c r="N95" s="61"/>
      <c r="O95" s="62"/>
      <c r="P95" s="90"/>
      <c r="Q95" s="60">
        <v>0</v>
      </c>
      <c r="R95" s="61">
        <v>0</v>
      </c>
      <c r="S95" s="61"/>
      <c r="T95" s="62"/>
      <c r="U95" s="9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90"/>
      <c r="G96" s="60">
        <v>0</v>
      </c>
      <c r="H96" s="61">
        <v>0</v>
      </c>
      <c r="I96" s="61"/>
      <c r="J96" s="62"/>
      <c r="K96" s="90"/>
      <c r="L96" s="60">
        <v>0</v>
      </c>
      <c r="M96" s="61">
        <v>0</v>
      </c>
      <c r="N96" s="61"/>
      <c r="O96" s="62"/>
      <c r="P96" s="90"/>
      <c r="Q96" s="60">
        <v>0</v>
      </c>
      <c r="R96" s="61">
        <v>0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v>0</v>
      </c>
      <c r="D97" s="61">
        <v>0</v>
      </c>
      <c r="E97" s="62"/>
      <c r="F97" s="90"/>
      <c r="G97" s="60"/>
      <c r="H97" s="61">
        <v>0</v>
      </c>
      <c r="I97" s="61">
        <v>0</v>
      </c>
      <c r="J97" s="62"/>
      <c r="K97" s="90"/>
      <c r="L97" s="60"/>
      <c r="M97" s="61">
        <v>0</v>
      </c>
      <c r="N97" s="61">
        <v>0</v>
      </c>
      <c r="O97" s="62"/>
      <c r="P97" s="90"/>
      <c r="Q97" s="60"/>
      <c r="R97" s="61">
        <v>0</v>
      </c>
      <c r="S97" s="61">
        <v>0</v>
      </c>
      <c r="T97" s="62"/>
      <c r="U97" s="90"/>
    </row>
    <row r="98" spans="1:21" ht="20" customHeight="1" x14ac:dyDescent="0.15">
      <c r="A98" s="12">
        <v>29</v>
      </c>
      <c r="B98" s="63">
        <v>0</v>
      </c>
      <c r="C98" s="61">
        <v>0</v>
      </c>
      <c r="D98" s="61"/>
      <c r="E98" s="62"/>
      <c r="F98" s="90"/>
      <c r="G98" s="60">
        <v>0</v>
      </c>
      <c r="H98" s="61">
        <v>0</v>
      </c>
      <c r="I98" s="61"/>
      <c r="J98" s="62"/>
      <c r="K98" s="90"/>
      <c r="L98" s="60">
        <v>0</v>
      </c>
      <c r="M98" s="61">
        <v>0</v>
      </c>
      <c r="N98" s="61"/>
      <c r="O98" s="62"/>
      <c r="P98" s="90"/>
      <c r="Q98" s="60">
        <v>0</v>
      </c>
      <c r="R98" s="61">
        <v>0</v>
      </c>
      <c r="S98" s="61"/>
      <c r="T98" s="62"/>
      <c r="U98" s="90"/>
    </row>
    <row r="99" spans="1:21" ht="20" customHeight="1" x14ac:dyDescent="0.15">
      <c r="A99" s="12">
        <v>30</v>
      </c>
      <c r="B99" s="63">
        <v>0</v>
      </c>
      <c r="C99" s="61">
        <v>0</v>
      </c>
      <c r="D99" s="61"/>
      <c r="E99" s="62"/>
      <c r="F99" s="90"/>
      <c r="G99" s="60">
        <v>0</v>
      </c>
      <c r="H99" s="61">
        <v>0</v>
      </c>
      <c r="I99" s="61"/>
      <c r="J99" s="62"/>
      <c r="K99" s="90"/>
      <c r="L99" s="60">
        <v>0</v>
      </c>
      <c r="M99" s="61">
        <v>0</v>
      </c>
      <c r="N99" s="61"/>
      <c r="O99" s="62"/>
      <c r="P99" s="90"/>
      <c r="Q99" s="60">
        <v>0</v>
      </c>
      <c r="R99" s="61">
        <v>0</v>
      </c>
      <c r="S99" s="61"/>
      <c r="T99" s="62"/>
      <c r="U99" s="90"/>
    </row>
    <row r="100" spans="1:21" ht="20" customHeight="1" x14ac:dyDescent="0.15">
      <c r="A100" s="12">
        <v>31</v>
      </c>
      <c r="B100" s="63">
        <v>0</v>
      </c>
      <c r="C100" s="61">
        <v>0</v>
      </c>
      <c r="D100" s="61"/>
      <c r="E100" s="62"/>
      <c r="F100" s="90"/>
      <c r="G100" s="60">
        <v>0</v>
      </c>
      <c r="H100" s="61">
        <v>0</v>
      </c>
      <c r="I100" s="61"/>
      <c r="J100" s="62"/>
      <c r="K100" s="90"/>
      <c r="L100" s="60">
        <v>0</v>
      </c>
      <c r="M100" s="61">
        <v>0</v>
      </c>
      <c r="N100" s="61"/>
      <c r="O100" s="62"/>
      <c r="P100" s="90"/>
      <c r="Q100" s="60">
        <v>0</v>
      </c>
      <c r="R100" s="61">
        <v>0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v>0</v>
      </c>
      <c r="D101" s="61">
        <v>0</v>
      </c>
      <c r="E101" s="62"/>
      <c r="F101" s="90"/>
      <c r="G101" s="60"/>
      <c r="H101" s="61">
        <v>0</v>
      </c>
      <c r="I101" s="61">
        <v>0</v>
      </c>
      <c r="J101" s="62"/>
      <c r="K101" s="90"/>
      <c r="L101" s="60"/>
      <c r="M101" s="61">
        <v>0</v>
      </c>
      <c r="N101" s="61">
        <v>0</v>
      </c>
      <c r="O101" s="62"/>
      <c r="P101" s="90"/>
      <c r="Q101" s="60"/>
      <c r="R101" s="61">
        <v>0</v>
      </c>
      <c r="S101" s="61">
        <v>0</v>
      </c>
      <c r="T101" s="62"/>
      <c r="U101" s="90"/>
    </row>
    <row r="102" spans="1:21" ht="20" customHeight="1" x14ac:dyDescent="0.15">
      <c r="A102" s="12">
        <v>33</v>
      </c>
      <c r="B102" s="63">
        <v>0</v>
      </c>
      <c r="C102" s="61">
        <v>0</v>
      </c>
      <c r="D102" s="61"/>
      <c r="E102" s="62"/>
      <c r="F102" s="90"/>
      <c r="G102" s="60">
        <v>0</v>
      </c>
      <c r="H102" s="61">
        <v>0</v>
      </c>
      <c r="I102" s="61"/>
      <c r="J102" s="62"/>
      <c r="K102" s="90"/>
      <c r="L102" s="60">
        <v>0</v>
      </c>
      <c r="M102" s="61">
        <v>0</v>
      </c>
      <c r="N102" s="61"/>
      <c r="O102" s="62"/>
      <c r="P102" s="90"/>
      <c r="Q102" s="60">
        <v>0</v>
      </c>
      <c r="R102" s="61">
        <v>0</v>
      </c>
      <c r="S102" s="61"/>
      <c r="T102" s="62"/>
      <c r="U102" s="90"/>
    </row>
    <row r="103" spans="1:21" ht="20" customHeight="1" x14ac:dyDescent="0.15">
      <c r="A103" s="12">
        <v>34</v>
      </c>
      <c r="B103" s="63">
        <v>0</v>
      </c>
      <c r="C103" s="61">
        <v>0</v>
      </c>
      <c r="D103" s="61"/>
      <c r="E103" s="62"/>
      <c r="F103" s="90"/>
      <c r="G103" s="60">
        <v>0</v>
      </c>
      <c r="H103" s="61">
        <v>0</v>
      </c>
      <c r="I103" s="61"/>
      <c r="J103" s="62"/>
      <c r="K103" s="90"/>
      <c r="L103" s="60">
        <v>0</v>
      </c>
      <c r="M103" s="61">
        <v>0</v>
      </c>
      <c r="N103" s="61"/>
      <c r="O103" s="62"/>
      <c r="P103" s="90"/>
      <c r="Q103" s="60">
        <v>0</v>
      </c>
      <c r="R103" s="61">
        <v>0</v>
      </c>
      <c r="S103" s="61"/>
      <c r="T103" s="62"/>
      <c r="U103" s="90"/>
    </row>
    <row r="104" spans="1:21" ht="20" customHeight="1" x14ac:dyDescent="0.15">
      <c r="A104" s="12">
        <v>35</v>
      </c>
      <c r="B104" s="63">
        <v>0</v>
      </c>
      <c r="C104" s="61">
        <v>0</v>
      </c>
      <c r="D104" s="61"/>
      <c r="E104" s="62"/>
      <c r="F104" s="90"/>
      <c r="G104" s="60">
        <v>0</v>
      </c>
      <c r="H104" s="61">
        <v>0</v>
      </c>
      <c r="I104" s="61"/>
      <c r="J104" s="62"/>
      <c r="K104" s="90"/>
      <c r="L104" s="60">
        <v>0</v>
      </c>
      <c r="M104" s="61">
        <v>0</v>
      </c>
      <c r="N104" s="61"/>
      <c r="O104" s="62"/>
      <c r="P104" s="90"/>
      <c r="Q104" s="60">
        <v>0</v>
      </c>
      <c r="R104" s="61">
        <v>0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0BE9-5228-C448-ACF0-D243130947A6}">
  <sheetPr codeName="Sheet7">
    <pageSetUpPr fitToPage="1"/>
  </sheetPr>
  <dimension ref="A1:U104"/>
  <sheetViews>
    <sheetView showGridLines="0" zoomScale="75" zoomScaleNormal="90" workbookViewId="0">
      <pane xSplit="1" ySplit="2" topLeftCell="I3" activePane="bottomRight" state="frozen"/>
      <selection pane="topRight"/>
      <selection pane="bottomLeft"/>
      <selection pane="bottomRight" activeCell="B3" sqref="B3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f>IF(SUMIF('regrets 4'!$B3:$F3, "&gt;0") &gt; 0, MAX('regrets 4'!B3, 0) / SUMIF('regrets 4'!$B3:$F3, "&gt;0"), 1 / COUNT('regrets 4'!$B3:$F3))</f>
        <v>1</v>
      </c>
      <c r="C3" s="64">
        <f>MAX('regrets 4'!C3, 0) / SUMIF('regrets 4'!$B3:$F3, "&gt;0")</f>
        <v>0</v>
      </c>
      <c r="D3" s="64">
        <f>MAX('regrets 4'!D3, 0) / SUMIF('regrets 4'!$B3:$F3, "&gt;0")</f>
        <v>0</v>
      </c>
      <c r="E3" s="58"/>
      <c r="F3" s="80"/>
      <c r="G3" s="64">
        <f>IF(SUMIF('regrets 4'!$G3:$K3, "&gt;0") &gt; 0, MAX('regrets 4'!G3, 0) / SUMIF('regrets 4'!$G3:$K3, "&gt;0"), 1 / COUNT('regrets 4'!$G3:$K3))</f>
        <v>0</v>
      </c>
      <c r="H3" s="64">
        <f>IF(SUMIF('regrets 4'!$G3:$K3, "&gt;0") &gt; 0, MAX('regrets 4'!H3, 0) / SUMIF('regrets 4'!$G3:$K3, "&gt;0"), 1 / COUNT('regrets 4'!$G3:$K3))</f>
        <v>3.4109149277688606E-3</v>
      </c>
      <c r="I3" s="64">
        <f>IF(SUMIF('regrets 4'!$G3:$K3, "&gt;0") &gt; 0, MAX('regrets 4'!I3, 0) / SUMIF('regrets 4'!$G3:$K3, "&gt;0"), 1 / COUNT('regrets 4'!$G3:$K3))</f>
        <v>0.9965890850722311</v>
      </c>
      <c r="J3" s="58"/>
      <c r="K3" s="80"/>
      <c r="L3" s="60">
        <f>IF(SUMIF('regrets 4'!$L3:$P3, "&gt;0") &gt; 0, MAX('regrets 4'!L3, 0) / SUMIF('regrets 4'!$L3:$P3, "&gt;0"), 1 / COUNT('regrets 4'!$L3:$P3))</f>
        <v>0.33333333333333331</v>
      </c>
      <c r="M3" s="60">
        <f>IF(SUMIF('regrets 4'!$L3:$P3, "&gt;0") &gt; 0, MAX('regrets 4'!M3, 0) / SUMIF('regrets 4'!$L3:$P3, "&gt;0"), 1 / COUNT('regrets 4'!$L3:$P3))</f>
        <v>0.33333333333333331</v>
      </c>
      <c r="N3" s="60">
        <f>IF(SUMIF('regrets 4'!$L3:$P3, "&gt;0") &gt; 0, MAX('regrets 4'!N3, 0) / SUMIF('regrets 4'!$L3:$P3, "&gt;0"), 1 / COUNT('regrets 4'!$L3:$P3))</f>
        <v>0.33333333333333331</v>
      </c>
      <c r="O3" s="58"/>
      <c r="P3" s="80"/>
      <c r="Q3" s="60">
        <f>IF(SUMIF('regrets 4'!$Q3:$U3, "&gt;0") &gt; 0, MAX('regrets 4'!Q3, 0) / SUMIF('regrets 4'!$Q3:$U3, "&gt;0"), 1 / COUNT('regrets 4'!$Q3:$U3))</f>
        <v>0.36998223801065722</v>
      </c>
      <c r="R3" s="60">
        <f>IF(SUMIF('regrets 4'!$Q3:$U3, "&gt;0") &gt; 0, MAX('regrets 4'!R3, 0) / SUMIF('regrets 4'!$Q3:$U3, "&gt;0"), 1 / COUNT('regrets 4'!$Q3:$U3))</f>
        <v>0.37229129662522203</v>
      </c>
      <c r="S3" s="60">
        <f>IF(SUMIF('regrets 4'!$Q3:$U3, "&gt;0") &gt; 0, MAX('regrets 4'!S3, 0) / SUMIF('regrets 4'!$Q3:$U3, "&gt;0"), 1 / COUNT('regrets 4'!$Q3:$U3))</f>
        <v>0.2577264653641208</v>
      </c>
      <c r="T3" s="58"/>
      <c r="U3" s="80"/>
    </row>
    <row r="4" spans="1:21" ht="20" customHeight="1" x14ac:dyDescent="0.15">
      <c r="A4" s="12">
        <v>1</v>
      </c>
      <c r="B4" s="61">
        <f>IF(SUMIF('regrets 4'!$B4:$F4, "&gt;0") &gt; 0, MAX('regrets 4'!B4, 0) / SUMIF('regrets 4'!$B4:$F4, "&gt;0"), 1 / COUNT('regrets 4'!$B4:$F4))</f>
        <v>0.33333333333333331</v>
      </c>
      <c r="C4" s="61">
        <f>IF(SUMIF('regrets 4'!$B4:$F4, "&gt;0") &gt; 0, MAX('regrets 4'!C4, 0) / SUMIF('regrets 4'!$B4:$F4, "&gt;0"), 1 / COUNT('regrets 4'!$B4:$F4))</f>
        <v>0.33333333333333331</v>
      </c>
      <c r="D4" s="61">
        <f>IF(SUMIF('regrets 4'!$B4:$F4, "&gt;0") &gt; 0, MAX('regrets 4'!D4, 0) / SUMIF('regrets 4'!$B4:$F4, "&gt;0"), 1 / COUNT('regrets 4'!$B4:$F4))</f>
        <v>0.33333333333333331</v>
      </c>
      <c r="E4" s="62"/>
      <c r="F4" s="81"/>
      <c r="G4" s="60">
        <f>IF(SUMIF('regrets 4'!$G4:$K4, "&gt;0") &gt; 0, MAX('regrets 4'!G4, 0) / SUMIF('regrets 4'!$G4:$K4, "&gt;0"), 1 / COUNT('regrets 4'!$G4:$K4))</f>
        <v>1</v>
      </c>
      <c r="H4" s="60">
        <f>IF(SUMIF('regrets 4'!$G4:$K4, "&gt;0") &gt; 0, MAX('regrets 4'!H4, 0) / SUMIF('regrets 4'!$G4:$K4, "&gt;0"), 1 / COUNT('regrets 4'!$G4:$K4))</f>
        <v>0</v>
      </c>
      <c r="I4" s="60">
        <f>IF(SUMIF('regrets 4'!$G4:$K4, "&gt;0") &gt; 0, MAX('regrets 4'!I4, 0) / SUMIF('regrets 4'!$G4:$K4, "&gt;0"), 1 / COUNT('regrets 4'!$G4:$K4))</f>
        <v>0</v>
      </c>
      <c r="J4" s="62"/>
      <c r="K4" s="81"/>
      <c r="L4" s="60">
        <f>IF(SUMIF('regrets 4'!$L4:$P4, "&gt;0") &gt; 0, MAX('regrets 4'!L4, 0) / SUMIF('regrets 4'!$L4:$P4, "&gt;0"), 1 / COUNT('regrets 4'!$L4:$P4))</f>
        <v>0.32812708583633693</v>
      </c>
      <c r="M4" s="60">
        <f>IF(SUMIF('regrets 4'!$L4:$P4, "&gt;0") &gt; 0, MAX('regrets 4'!M4, 0) / SUMIF('regrets 4'!$L4:$P4, "&gt;0"), 1 / COUNT('regrets 4'!$L4:$P4))</f>
        <v>0</v>
      </c>
      <c r="N4" s="60">
        <f>IF(SUMIF('regrets 4'!$L4:$P4, "&gt;0") &gt; 0, MAX('regrets 4'!N4, 0) / SUMIF('regrets 4'!$L4:$P4, "&gt;0"), 1 / COUNT('regrets 4'!$L4:$P4))</f>
        <v>0.67187291416366302</v>
      </c>
      <c r="O4" s="62"/>
      <c r="P4" s="81"/>
      <c r="Q4" s="60">
        <f>IF(SUMIF('regrets 4'!$Q4:$U4, "&gt;0") &gt; 0, MAX('regrets 4'!Q4, 0) / SUMIF('regrets 4'!$Q4:$U4, "&gt;0"), 1 / COUNT('regrets 4'!$Q4:$U4))</f>
        <v>0.33333333333333331</v>
      </c>
      <c r="R4" s="61">
        <f>IF(SUMIF('regrets 4'!$Q4:$U4, "&gt;0") &gt; 0, MAX('regrets 4'!R4, 0) / SUMIF('regrets 4'!$Q4:$U4, "&gt;0"), 1 / COUNT('regrets 4'!$Q4:$U4))</f>
        <v>0.33333333333333331</v>
      </c>
      <c r="S4" s="61">
        <f>IF(SUMIF('regrets 4'!$Q4:$U4, "&gt;0") &gt; 0, MAX('regrets 4'!S4, 0) / SUMIF('regrets 4'!$Q4:$U4, "&gt;0"), 1 / COUNT('regrets 4'!$Q4:$U4))</f>
        <v>0.33333333333333331</v>
      </c>
      <c r="T4" s="62"/>
      <c r="U4" s="81"/>
    </row>
    <row r="5" spans="1:21" ht="20" customHeight="1" x14ac:dyDescent="0.15">
      <c r="A5" s="12">
        <v>2</v>
      </c>
      <c r="B5" s="61">
        <f>IF(SUMIF('regrets 4'!$B5:$F5, "&gt;0") &gt; 0, MAX('regrets 4'!B5, 0) / SUMIF('regrets 4'!$B5:$F5, "&gt;0"), 1 / COUNT('regrets 4'!$B5:$F5))</f>
        <v>0.5</v>
      </c>
      <c r="C5" s="61">
        <f>IF(SUMIF('regrets 4'!$B5:$F5, "&gt;0") &gt; 0, MAX('regrets 4'!C5, 0) / SUMIF('regrets 4'!$B5:$F5, "&gt;0"), 1 / COUNT('regrets 4'!$B5:$F5))</f>
        <v>0.5</v>
      </c>
      <c r="D5" s="61"/>
      <c r="E5" s="62"/>
      <c r="F5" s="81"/>
      <c r="G5" s="60">
        <f>IF(SUMIF('regrets 4'!$G5:$K5, "&gt;0") &gt; 0, MAX('regrets 4'!G5, 0) / SUMIF('regrets 4'!$G5:$K5, "&gt;0"), 1 / COUNT('regrets 4'!$G5:$K5))</f>
        <v>0.5</v>
      </c>
      <c r="H5" s="60">
        <f>IF(SUMIF('regrets 4'!$G5:$K5, "&gt;0") &gt; 0, MAX('regrets 4'!H5, 0) / SUMIF('regrets 4'!$G5:$K5, "&gt;0"), 1 / COUNT('regrets 4'!$G5:$K5))</f>
        <v>0.5</v>
      </c>
      <c r="I5" s="61"/>
      <c r="J5" s="62"/>
      <c r="K5" s="81"/>
      <c r="L5" s="60">
        <f>IF(SUMIF('regrets 4'!$L5:$P5, "&gt;0") &gt; 0, MAX('regrets 4'!L5, 0) / SUMIF('regrets 4'!$L5:$P5, "&gt;0"), 1 / COUNT('regrets 4'!$L5:$P5))</f>
        <v>0.5</v>
      </c>
      <c r="M5" s="60">
        <f>IF(SUMIF('regrets 4'!$L5:$P5, "&gt;0") &gt; 0, MAX('regrets 4'!M5, 0) / SUMIF('regrets 4'!$L5:$P5, "&gt;0"), 1 / COUNT('regrets 4'!$L5:$P5))</f>
        <v>0.5</v>
      </c>
      <c r="N5" s="61"/>
      <c r="O5" s="62"/>
      <c r="P5" s="81"/>
      <c r="Q5" s="60">
        <f>IF(SUMIF('regrets 4'!$Q5:$U5, "&gt;0") &gt; 0, MAX('regrets 4'!Q5, 0) / SUMIF('regrets 4'!$Q5:$U5, "&gt;0"), 1 / COUNT('regrets 4'!$Q5:$U5))</f>
        <v>0</v>
      </c>
      <c r="R5" s="60">
        <f>IF(SUMIF('regrets 4'!$Q5:$U5, "&gt;0") &gt; 0, MAX('regrets 4'!R5, 0) / SUMIF('regrets 4'!$Q5:$U5, "&gt;0"), 1 / COUNT('regrets 4'!$Q5:$U5))</f>
        <v>1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f>IF(SUMIF('regrets 4'!$B6:$F6, "&gt;0") &gt; 0, MAX('regrets 4'!C6, 0) / SUMIF('regrets 4'!$B6:$F6, "&gt;0"), 1 / COUNT('regrets 4'!$B6:$F6))</f>
        <v>0.5</v>
      </c>
      <c r="D6" s="61">
        <f>IF(SUMIF('regrets 4'!$B6:$F6, "&gt;0") &gt; 0, MAX('regrets 4'!D6, 0) / SUMIF('regrets 4'!$B6:$F6, "&gt;0"), 1 / COUNT('regrets 4'!$B6:$F6))</f>
        <v>0.5</v>
      </c>
      <c r="E6" s="62"/>
      <c r="F6" s="81"/>
      <c r="G6" s="60"/>
      <c r="H6" s="60">
        <f>IF(SUMIF('regrets 4'!$G6:$K6, "&gt;0") &gt; 0, MAX('regrets 4'!H6, 0) / SUMIF('regrets 4'!$G6:$K6, "&gt;0"), 1 / COUNT('regrets 4'!$G6:$K6))</f>
        <v>0.5</v>
      </c>
      <c r="I6" s="60">
        <f>IF(SUMIF('regrets 4'!$G6:$K6, "&gt;0") &gt; 0, MAX('regrets 4'!I6, 0) / SUMIF('regrets 4'!$G6:$K6, "&gt;0"), 1 / COUNT('regrets 4'!$G6:$K6))</f>
        <v>0.5</v>
      </c>
      <c r="J6" s="62"/>
      <c r="K6" s="81"/>
      <c r="L6" s="60"/>
      <c r="M6" s="60">
        <f>IF(SUMIF('regrets 4'!$L6:$P6, "&gt;0") &gt; 0, MAX('regrets 4'!M6, 0) / SUMIF('regrets 4'!$L6:$P6, "&gt;0"), 1 / COUNT('regrets 4'!$L6:$P6))</f>
        <v>0.5</v>
      </c>
      <c r="N6" s="60">
        <f>IF(SUMIF('regrets 4'!$L6:$P6, "&gt;0") &gt; 0, MAX('regrets 4'!N6, 0) / SUMIF('regrets 4'!$L6:$P6, "&gt;0"), 1 / COUNT('regrets 4'!$L6:$P6))</f>
        <v>0.5</v>
      </c>
      <c r="O6" s="62"/>
      <c r="P6" s="81"/>
      <c r="Q6" s="60"/>
      <c r="R6" s="60">
        <f>IF(SUMIF('regrets 4'!$Q6:$U6, "&gt;0") &gt; 0, MAX('regrets 4'!R6, 0) / SUMIF('regrets 4'!$Q6:$U6, "&gt;0"), 1 / COUNT('regrets 4'!$Q6:$U6))</f>
        <v>0.5</v>
      </c>
      <c r="S6" s="60">
        <f>IF(SUMIF('regrets 4'!$Q6:$U6, "&gt;0") &gt; 0, MAX('regrets 4'!S6, 0) / SUMIF('regrets 4'!$Q6:$U6, "&gt;0"), 1 / COUNT('regrets 4'!$Q6:$U6))</f>
        <v>0.5</v>
      </c>
      <c r="T6" s="62"/>
      <c r="U6" s="81"/>
    </row>
    <row r="7" spans="1:21" ht="20" customHeight="1" x14ac:dyDescent="0.15">
      <c r="A7" s="12">
        <v>4</v>
      </c>
      <c r="B7" s="61">
        <f>IF(SUMIF('regrets 4'!$B7:$F7, "&gt;0") &gt; 0, MAX('regrets 4'!B7, 0) / SUMIF('regrets 4'!$B7:$F7, "&gt;0"), 1 / COUNT('regrets 4'!$B7:$F7))</f>
        <v>0.5</v>
      </c>
      <c r="C7" s="61">
        <f>IF(SUMIF('regrets 4'!$B7:$F7, "&gt;0") &gt; 0, MAX('regrets 4'!C7, 0) / SUMIF('regrets 4'!$B7:$F7, "&gt;0"), 1 / COUNT('regrets 4'!$B7:$F7))</f>
        <v>0.5</v>
      </c>
      <c r="D7" s="61"/>
      <c r="E7" s="62"/>
      <c r="F7" s="81"/>
      <c r="G7" s="60">
        <f>IF(SUMIF('regrets 4'!$G7:$K7, "&gt;0") &gt; 0, MAX('regrets 4'!G7, 0) / SUMIF('regrets 4'!$G7:$K7, "&gt;0"), 1 / COUNT('regrets 4'!$G7:$K7))</f>
        <v>0.5</v>
      </c>
      <c r="H7" s="60">
        <f>IF(SUMIF('regrets 4'!$G7:$K7, "&gt;0") &gt; 0, MAX('regrets 4'!H7, 0) / SUMIF('regrets 4'!$G7:$K7, "&gt;0"), 1 / COUNT('regrets 4'!$G7:$K7))</f>
        <v>0.5</v>
      </c>
      <c r="I7" s="61"/>
      <c r="J7" s="62"/>
      <c r="K7" s="81"/>
      <c r="L7" s="60">
        <f>IF(SUMIF('regrets 4'!$L7:$P7, "&gt;0") &gt; 0, MAX('regrets 4'!L7, 0) / SUMIF('regrets 4'!$L7:$P7, "&gt;0"), 1 / COUNT('regrets 4'!$L7:$P7))</f>
        <v>0.5</v>
      </c>
      <c r="M7" s="60">
        <f>IF(SUMIF('regrets 4'!$L7:$P7, "&gt;0") &gt; 0, MAX('regrets 4'!M7, 0) / SUMIF('regrets 4'!$L7:$P7, "&gt;0"), 1 / COUNT('regrets 4'!$L7:$P7))</f>
        <v>0.5</v>
      </c>
      <c r="N7" s="61"/>
      <c r="O7" s="62"/>
      <c r="P7" s="81"/>
      <c r="Q7" s="60">
        <f>IF(SUMIF('regrets 4'!$Q7:$U7, "&gt;0") &gt; 0, MAX('regrets 4'!Q7, 0) / SUMIF('regrets 4'!$Q7:$U7, "&gt;0"), 1 / COUNT('regrets 4'!$Q7:$U7))</f>
        <v>0.5</v>
      </c>
      <c r="R7" s="60">
        <f>IF(SUMIF('regrets 4'!$Q7:$U7, "&gt;0") &gt; 0, MAX('regrets 4'!R7, 0) / SUMIF('regrets 4'!$Q7:$U7, "&gt;0"), 1 / COUNT('regrets 4'!$Q7:$U7))</f>
        <v>0.5</v>
      </c>
      <c r="S7" s="61"/>
      <c r="T7" s="62"/>
      <c r="U7" s="81"/>
    </row>
    <row r="8" spans="1:21" ht="20" customHeight="1" x14ac:dyDescent="0.15">
      <c r="A8" s="12">
        <v>5</v>
      </c>
      <c r="B8" s="61">
        <f>IF(SUMIF('regrets 4'!$B8:$F8, "&gt;0") &gt; 0, MAX('regrets 4'!B8, 0) / SUMIF('regrets 4'!$B8:$F8, "&gt;0"), 1 / COUNT('regrets 4'!$B8:$F8))</f>
        <v>0.5</v>
      </c>
      <c r="C8" s="61">
        <f>IF(SUMIF('regrets 4'!$B8:$F8, "&gt;0") &gt; 0, MAX('regrets 4'!C8, 0) / SUMIF('regrets 4'!$B8:$F8, "&gt;0"), 1 / COUNT('regrets 4'!$B8:$F8))</f>
        <v>0.5</v>
      </c>
      <c r="D8" s="61"/>
      <c r="E8" s="62"/>
      <c r="F8" s="81"/>
      <c r="G8" s="60">
        <f>IF(SUMIF('regrets 4'!$G8:$K8, "&gt;0") &gt; 0, MAX('regrets 4'!G8, 0) / SUMIF('regrets 4'!$G8:$K8, "&gt;0"), 1 / COUNT('regrets 4'!$G8:$K8))</f>
        <v>0.5</v>
      </c>
      <c r="H8" s="60">
        <f>IF(SUMIF('regrets 4'!$G8:$K8, "&gt;0") &gt; 0, MAX('regrets 4'!H8, 0) / SUMIF('regrets 4'!$G8:$K8, "&gt;0"), 1 / COUNT('regrets 4'!$G8:$K8))</f>
        <v>0.5</v>
      </c>
      <c r="I8" s="61"/>
      <c r="J8" s="62"/>
      <c r="K8" s="81"/>
      <c r="L8" s="60">
        <f>IF(SUMIF('regrets 4'!$L8:$P8, "&gt;0") &gt; 0, MAX('regrets 4'!L8, 0) / SUMIF('regrets 4'!$L8:$P8, "&gt;0"), 1 / COUNT('regrets 4'!$L8:$P8))</f>
        <v>0.5</v>
      </c>
      <c r="M8" s="60">
        <f>IF(SUMIF('regrets 4'!$L8:$P8, "&gt;0") &gt; 0, MAX('regrets 4'!M8, 0) / SUMIF('regrets 4'!$L8:$P8, "&gt;0"), 1 / COUNT('regrets 4'!$L8:$P8))</f>
        <v>0.5</v>
      </c>
      <c r="N8" s="61"/>
      <c r="O8" s="62"/>
      <c r="P8" s="81"/>
      <c r="Q8" s="60">
        <f>IF(SUMIF('regrets 4'!$Q8:$U8, "&gt;0") &gt; 0, MAX('regrets 4'!Q8, 0) / SUMIF('regrets 4'!$Q8:$U8, "&gt;0"), 1 / COUNT('regrets 4'!$Q8:$U8))</f>
        <v>0</v>
      </c>
      <c r="R8" s="60">
        <f>IF(SUMIF('regrets 4'!$Q8:$U8, "&gt;0") &gt; 0, MAX('regrets 4'!R8, 0) / SUMIF('regrets 4'!$Q8:$U8, "&gt;0"), 1 / COUNT('regrets 4'!$Q8:$U8))</f>
        <v>1</v>
      </c>
      <c r="S8" s="61"/>
      <c r="T8" s="62"/>
      <c r="U8" s="81"/>
    </row>
    <row r="9" spans="1:21" ht="20" customHeight="1" x14ac:dyDescent="0.15">
      <c r="A9" s="12">
        <v>6</v>
      </c>
      <c r="B9" s="61">
        <f>IF(SUMIF('regrets 4'!$B9:$F9, "&gt;0") &gt; 0, MAX('regrets 4'!B9, 0) / SUMIF('regrets 4'!$B9:$F9, "&gt;0"), 1 / COUNT('regrets 4'!$B9:$F9))</f>
        <v>0.5</v>
      </c>
      <c r="C9" s="61">
        <f>IF(SUMIF('regrets 4'!$B9:$F9, "&gt;0") &gt; 0, MAX('regrets 4'!C9, 0) / SUMIF('regrets 4'!$B9:$F9, "&gt;0"), 1 / COUNT('regrets 4'!$B9:$F9))</f>
        <v>0.5</v>
      </c>
      <c r="D9" s="61"/>
      <c r="E9" s="62"/>
      <c r="F9" s="81"/>
      <c r="G9" s="60">
        <f>IF(SUMIF('regrets 4'!$G9:$K9, "&gt;0") &gt; 0, MAX('regrets 4'!G9, 0) / SUMIF('regrets 4'!$G9:$K9, "&gt;0"), 1 / COUNT('regrets 4'!$G9:$K9))</f>
        <v>0.5</v>
      </c>
      <c r="H9" s="60">
        <f>IF(SUMIF('regrets 4'!$G9:$K9, "&gt;0") &gt; 0, MAX('regrets 4'!H9, 0) / SUMIF('regrets 4'!$G9:$K9, "&gt;0"), 1 / COUNT('regrets 4'!$G9:$K9))</f>
        <v>0.5</v>
      </c>
      <c r="I9" s="61"/>
      <c r="J9" s="62"/>
      <c r="K9" s="81"/>
      <c r="L9" s="60">
        <f>IF(SUMIF('regrets 4'!$L9:$P9, "&gt;0") &gt; 0, MAX('regrets 4'!L9, 0) / SUMIF('regrets 4'!$L9:$P9, "&gt;0"), 1 / COUNT('regrets 4'!$L9:$P9))</f>
        <v>0.5</v>
      </c>
      <c r="M9" s="60">
        <f>IF(SUMIF('regrets 4'!$L9:$P9, "&gt;0") &gt; 0, MAX('regrets 4'!M9, 0) / SUMIF('regrets 4'!$L9:$P9, "&gt;0"), 1 / COUNT('regrets 4'!$L9:$P9))</f>
        <v>0.5</v>
      </c>
      <c r="N9" s="61"/>
      <c r="O9" s="62"/>
      <c r="P9" s="81"/>
      <c r="Q9" s="60">
        <f>IF(SUMIF('regrets 4'!$Q9:$U9, "&gt;0") &gt; 0, MAX('regrets 4'!Q9, 0) / SUMIF('regrets 4'!$Q9:$U9, "&gt;0"), 1 / COUNT('regrets 4'!$Q9:$U9))</f>
        <v>0.5</v>
      </c>
      <c r="R9" s="60">
        <f>IF(SUMIF('regrets 4'!$Q9:$U9, "&gt;0") &gt; 0, MAX('regrets 4'!R9, 0) / SUMIF('regrets 4'!$Q9:$U9, "&gt;0"), 1 / COUNT('regrets 4'!$Q9:$U9))</f>
        <v>0.5</v>
      </c>
      <c r="S9" s="61"/>
      <c r="T9" s="62"/>
      <c r="U9" s="81"/>
    </row>
    <row r="10" spans="1:21" ht="20" customHeight="1" x14ac:dyDescent="0.15">
      <c r="A10" s="12">
        <v>7</v>
      </c>
      <c r="B10" s="61">
        <f>IF(SUMIF('regrets 4'!$B10:$F10, "&gt;0") &gt; 0, MAX('regrets 4'!B10, 0) / SUMIF('regrets 4'!$B10:$F10, "&gt;0"), 1 / COUNT('regrets 4'!$B10:$F10))</f>
        <v>0.5</v>
      </c>
      <c r="C10" s="61">
        <f>IF(SUMIF('regrets 4'!$B10:$F10, "&gt;0") &gt; 0, MAX('regrets 4'!C10, 0) / SUMIF('regrets 4'!$B10:$F10, "&gt;0"), 1 / COUNT('regrets 4'!$B10:$F10))</f>
        <v>0.5</v>
      </c>
      <c r="D10" s="61"/>
      <c r="E10" s="62"/>
      <c r="F10" s="81"/>
      <c r="G10" s="60">
        <f>IF(SUMIF('regrets 4'!$G10:$K10, "&gt;0") &gt; 0, MAX('regrets 4'!G10, 0) / SUMIF('regrets 4'!$G10:$K10, "&gt;0"), 1 / COUNT('regrets 4'!$G10:$K10))</f>
        <v>0.5</v>
      </c>
      <c r="H10" s="60">
        <f>IF(SUMIF('regrets 4'!$G10:$K10, "&gt;0") &gt; 0, MAX('regrets 4'!H10, 0) / SUMIF('regrets 4'!$G10:$K10, "&gt;0"), 1 / COUNT('regrets 4'!$G10:$K10))</f>
        <v>0.5</v>
      </c>
      <c r="I10" s="61"/>
      <c r="J10" s="62"/>
      <c r="K10" s="81"/>
      <c r="L10" s="60">
        <f>IF(SUMIF('regrets 4'!$L10:$P10, "&gt;0") &gt; 0, MAX('regrets 4'!L10, 0) / SUMIF('regrets 4'!$L10:$P10, "&gt;0"), 1 / COUNT('regrets 4'!$L10:$P10))</f>
        <v>1</v>
      </c>
      <c r="M10" s="60">
        <f>IF(SUMIF('regrets 4'!$L10:$P10, "&gt;0") &gt; 0, MAX('regrets 4'!M10, 0) / SUMIF('regrets 4'!$L10:$P10, "&gt;0"), 1 / COUNT('regrets 4'!$L10:$P10))</f>
        <v>0</v>
      </c>
      <c r="N10" s="61"/>
      <c r="O10" s="62"/>
      <c r="P10" s="81"/>
      <c r="Q10" s="60">
        <f>IF(SUMIF('regrets 4'!$Q10:$U10, "&gt;0") &gt; 0, MAX('regrets 4'!Q10, 0) / SUMIF('regrets 4'!$Q10:$U10, "&gt;0"), 1 / COUNT('regrets 4'!$Q10:$U10))</f>
        <v>0.5</v>
      </c>
      <c r="R10" s="60">
        <f>IF(SUMIF('regrets 4'!$Q10:$U10, "&gt;0") &gt; 0, MAX('regrets 4'!R10, 0) / SUMIF('regrets 4'!$Q10:$U10, "&gt;0"), 1 / COUNT('regrets 4'!$Q10:$U10))</f>
        <v>0.5</v>
      </c>
      <c r="S10" s="61"/>
      <c r="T10" s="62"/>
      <c r="U10" s="81"/>
    </row>
    <row r="11" spans="1:21" ht="20" customHeight="1" x14ac:dyDescent="0.15">
      <c r="A11" s="12">
        <v>8</v>
      </c>
      <c r="B11" s="61">
        <f>IF(SUMIF('regrets 4'!$B11:$F11, "&gt;0") &gt; 0, MAX('regrets 4'!B11, 0) / SUMIF('regrets 4'!$B11:$F11, "&gt;0"), 1 / COUNT('regrets 4'!$B11:$F11))</f>
        <v>0.33333333333333331</v>
      </c>
      <c r="C11" s="61">
        <f>IF(SUMIF('regrets 4'!$B11:$F11, "&gt;0") &gt; 0, MAX('regrets 4'!C11, 0) / SUMIF('regrets 4'!$B11:$F11, "&gt;0"), 1 / COUNT('regrets 4'!$B11:$F11))</f>
        <v>0.33333333333333331</v>
      </c>
      <c r="D11" s="61">
        <f>IF(SUMIF('regrets 4'!$B11:$F11, "&gt;0") &gt; 0, MAX('regrets 4'!D11, 0) / SUMIF('regrets 4'!$B11:$F11, "&gt;0"), 1 / COUNT('regrets 4'!$B11:$F11))</f>
        <v>0.33333333333333331</v>
      </c>
      <c r="E11" s="62"/>
      <c r="F11" s="81"/>
      <c r="G11" s="60">
        <f>IF(SUMIF('regrets 4'!$G11:$K11, "&gt;0") &gt; 0, MAX('regrets 4'!G11, 0) / SUMIF('regrets 4'!$G11:$K11, "&gt;0"), 1 / COUNT('regrets 4'!$G11:$K11))</f>
        <v>0.33333333333333331</v>
      </c>
      <c r="H11" s="60">
        <f>IF(SUMIF('regrets 4'!$G11:$K11, "&gt;0") &gt; 0, MAX('regrets 4'!H11, 0) / SUMIF('regrets 4'!$G11:$K11, "&gt;0"), 1 / COUNT('regrets 4'!$G11:$K11))</f>
        <v>0.33333333333333331</v>
      </c>
      <c r="I11" s="60">
        <f>IF(SUMIF('regrets 4'!$G11:$K11, "&gt;0") &gt; 0, MAX('regrets 4'!I11, 0) / SUMIF('regrets 4'!$G11:$K11, "&gt;0"), 1 / COUNT('regrets 4'!$G11:$K11))</f>
        <v>0.33333333333333331</v>
      </c>
      <c r="J11" s="62"/>
      <c r="K11" s="81"/>
      <c r="L11" s="60">
        <f>IF(SUMIF('regrets 4'!$L11:$P11, "&gt;0") &gt; 0, MAX('regrets 4'!L11, 0) / SUMIF('regrets 4'!$L11:$P11, "&gt;0"), 1 / COUNT('regrets 4'!$L11:$P11))</f>
        <v>0.33333333333333331</v>
      </c>
      <c r="M11" s="60">
        <f>IF(SUMIF('regrets 4'!$L11:$P11, "&gt;0") &gt; 0, MAX('regrets 4'!M11, 0) / SUMIF('regrets 4'!$L11:$P11, "&gt;0"), 1 / COUNT('regrets 4'!$L11:$P11))</f>
        <v>0.33333333333333331</v>
      </c>
      <c r="N11" s="60">
        <f>IF(SUMIF('regrets 4'!$L11:$P11, "&gt;0") &gt; 0, MAX('regrets 4'!N11, 0) / SUMIF('regrets 4'!$L11:$P11, "&gt;0"), 1 / COUNT('regrets 4'!$L11:$P11))</f>
        <v>0.33333333333333331</v>
      </c>
      <c r="O11" s="62"/>
      <c r="P11" s="81"/>
      <c r="Q11" s="60">
        <f>IF(SUMIF('regrets 4'!$Q11:$U11, "&gt;0") &gt; 0, MAX('regrets 4'!Q11, 0) / SUMIF('regrets 4'!$Q11:$U11, "&gt;0"), 1 / COUNT('regrets 4'!$Q11:$U11))</f>
        <v>0.33333333333333331</v>
      </c>
      <c r="R11" s="60">
        <f>IF(SUMIF('regrets 4'!$Q11:$U11, "&gt;0") &gt; 0, MAX('regrets 4'!R11, 0) / SUMIF('regrets 4'!$Q11:$U11, "&gt;0"), 1 / COUNT('regrets 4'!$Q11:$U11))</f>
        <v>0.33333333333333331</v>
      </c>
      <c r="S11" s="60">
        <f>IF(SUMIF('regrets 4'!$Q11:$U11, "&gt;0") &gt; 0, MAX('regrets 4'!S11, 0) / SUMIF('regrets 4'!$Q11:$U11, "&gt;0"), 1 / COUNT('regrets 4'!$Q11:$U11))</f>
        <v>0.33333333333333331</v>
      </c>
      <c r="T11" s="62"/>
      <c r="U11" s="81"/>
    </row>
    <row r="12" spans="1:21" ht="20" customHeight="1" x14ac:dyDescent="0.15">
      <c r="A12" s="12">
        <v>9</v>
      </c>
      <c r="B12" s="60"/>
      <c r="C12" s="61">
        <f>IF(SUMIF('regrets 4'!$B12:$F12, "&gt;0") &gt; 0, MAX('regrets 4'!C12, 0) / SUMIF('regrets 4'!$B12:$F12, "&gt;0"), 1 / COUNT('regrets 4'!$B12:$F12))</f>
        <v>0.5</v>
      </c>
      <c r="D12" s="61">
        <f>IF(SUMIF('regrets 4'!$B12:$F12, "&gt;0") &gt; 0, MAX('regrets 4'!D12, 0) / SUMIF('regrets 4'!$B12:$F12, "&gt;0"), 1 / COUNT('regrets 4'!$B12:$F12))</f>
        <v>0.5</v>
      </c>
      <c r="E12" s="62"/>
      <c r="F12" s="81"/>
      <c r="G12" s="60"/>
      <c r="H12" s="60">
        <f>IF(SUMIF('regrets 4'!$G12:$K12, "&gt;0") &gt; 0, MAX('regrets 4'!H12, 0) / SUMIF('regrets 4'!$G12:$K12, "&gt;0"), 1 / COUNT('regrets 4'!$G12:$K12))</f>
        <v>0.5</v>
      </c>
      <c r="I12" s="60">
        <f>IF(SUMIF('regrets 4'!$G12:$K12, "&gt;0") &gt; 0, MAX('regrets 4'!I12, 0) / SUMIF('regrets 4'!$G12:$K12, "&gt;0"), 1 / COUNT('regrets 4'!$G12:$K12))</f>
        <v>0.5</v>
      </c>
      <c r="J12" s="62"/>
      <c r="K12" s="81"/>
      <c r="L12" s="60"/>
      <c r="M12" s="60">
        <f>IF(SUMIF('regrets 4'!$L12:$P12, "&gt;0") &gt; 0, MAX('regrets 4'!M12, 0) / SUMIF('regrets 4'!$L12:$P12, "&gt;0"), 1 / COUNT('regrets 4'!$L12:$P12))</f>
        <v>0.5</v>
      </c>
      <c r="N12" s="60">
        <f>IF(SUMIF('regrets 4'!$L12:$P12, "&gt;0") &gt; 0, MAX('regrets 4'!N12, 0) / SUMIF('regrets 4'!$L12:$P12, "&gt;0"), 1 / COUNT('regrets 4'!$L12:$P12))</f>
        <v>0.5</v>
      </c>
      <c r="O12" s="62"/>
      <c r="P12" s="81"/>
      <c r="Q12" s="60"/>
      <c r="R12" s="60">
        <f>IF(SUMIF('regrets 4'!$Q12:$U12, "&gt;0") &gt; 0, MAX('regrets 4'!R12, 0) / SUMIF('regrets 4'!$Q12:$U12, "&gt;0"), 1 / COUNT('regrets 4'!$Q12:$U12))</f>
        <v>0.5</v>
      </c>
      <c r="S12" s="60">
        <f>IF(SUMIF('regrets 4'!$Q12:$U12, "&gt;0") &gt; 0, MAX('regrets 4'!S12, 0) / SUMIF('regrets 4'!$Q12:$U12, "&gt;0"), 1 / COUNT('regrets 4'!$Q12:$U12))</f>
        <v>0.5</v>
      </c>
      <c r="T12" s="62"/>
      <c r="U12" s="81"/>
    </row>
    <row r="13" spans="1:21" ht="20" customHeight="1" x14ac:dyDescent="0.15">
      <c r="A13" s="12">
        <v>10</v>
      </c>
      <c r="B13" s="61">
        <f>IF(SUMIF('regrets 4'!$B13:$F13, "&gt;0") &gt; 0, MAX('regrets 4'!B13, 0) / SUMIF('regrets 4'!$B13:$F13, "&gt;0"), 1 / COUNT('regrets 4'!$B13:$F13))</f>
        <v>0.5</v>
      </c>
      <c r="C13" s="61">
        <f>IF(SUMIF('regrets 4'!$B13:$F13, "&gt;0") &gt; 0, MAX('regrets 4'!C13, 0) / SUMIF('regrets 4'!$B13:$F13, "&gt;0"), 1 / COUNT('regrets 4'!$B13:$F13))</f>
        <v>0.5</v>
      </c>
      <c r="D13" s="61"/>
      <c r="E13" s="62"/>
      <c r="F13" s="81"/>
      <c r="G13" s="60">
        <f>IF(SUMIF('regrets 4'!$G13:$K13, "&gt;0") &gt; 0, MAX('regrets 4'!G13, 0) / SUMIF('regrets 4'!$G13:$K13, "&gt;0"), 1 / COUNT('regrets 4'!$G13:$K13))</f>
        <v>0.5</v>
      </c>
      <c r="H13" s="60">
        <f>IF(SUMIF('regrets 4'!$G13:$K13, "&gt;0") &gt; 0, MAX('regrets 4'!H13, 0) / SUMIF('regrets 4'!$G13:$K13, "&gt;0"), 1 / COUNT('regrets 4'!$G13:$K13))</f>
        <v>0.5</v>
      </c>
      <c r="I13" s="61"/>
      <c r="J13" s="62"/>
      <c r="K13" s="81"/>
      <c r="L13" s="60">
        <f>IF(SUMIF('regrets 4'!$L13:$P13, "&gt;0") &gt; 0, MAX('regrets 4'!L13, 0) / SUMIF('regrets 4'!$L13:$P13, "&gt;0"), 1 / COUNT('regrets 4'!$L13:$P13))</f>
        <v>0.5</v>
      </c>
      <c r="M13" s="60">
        <f>IF(SUMIF('regrets 4'!$L13:$P13, "&gt;0") &gt; 0, MAX('regrets 4'!M13, 0) / SUMIF('regrets 4'!$L13:$P13, "&gt;0"), 1 / COUNT('regrets 4'!$L13:$P13))</f>
        <v>0.5</v>
      </c>
      <c r="N13" s="61"/>
      <c r="O13" s="62"/>
      <c r="P13" s="81"/>
      <c r="Q13" s="60">
        <f>IF(SUMIF('regrets 4'!$Q13:$U13, "&gt;0") &gt; 0, MAX('regrets 4'!Q13, 0) / SUMIF('regrets 4'!$Q13:$U13, "&gt;0"), 1 / COUNT('regrets 4'!$Q13:$U13))</f>
        <v>0.5</v>
      </c>
      <c r="R13" s="60">
        <f>IF(SUMIF('regrets 4'!$Q13:$U13, "&gt;0") &gt; 0, MAX('regrets 4'!R13, 0) / SUMIF('regrets 4'!$Q13:$U13, "&gt;0"), 1 / COUNT('regrets 4'!$Q13:$U13))</f>
        <v>0.5</v>
      </c>
      <c r="S13" s="61"/>
      <c r="T13" s="62"/>
      <c r="U13" s="81"/>
    </row>
    <row r="14" spans="1:21" ht="20" customHeight="1" x14ac:dyDescent="0.15">
      <c r="A14" s="12">
        <v>11</v>
      </c>
      <c r="B14" s="61">
        <f>IF(SUMIF('regrets 4'!$B14:$F14, "&gt;0") &gt; 0, MAX('regrets 4'!B14, 0) / SUMIF('regrets 4'!$B14:$F14, "&gt;0"), 1 / COUNT('regrets 4'!$B14:$F14))</f>
        <v>0.5</v>
      </c>
      <c r="C14" s="61">
        <f>IF(SUMIF('regrets 4'!$B14:$F14, "&gt;0") &gt; 0, MAX('regrets 4'!C14, 0) / SUMIF('regrets 4'!$B14:$F14, "&gt;0"), 1 / COUNT('regrets 4'!$B14:$F14))</f>
        <v>0.5</v>
      </c>
      <c r="D14" s="61"/>
      <c r="E14" s="62"/>
      <c r="F14" s="81"/>
      <c r="G14" s="60">
        <f>IF(SUMIF('regrets 4'!$G14:$K14, "&gt;0") &gt; 0, MAX('regrets 4'!G14, 0) / SUMIF('regrets 4'!$G14:$K14, "&gt;0"), 1 / COUNT('regrets 4'!$G14:$K14))</f>
        <v>0.5</v>
      </c>
      <c r="H14" s="60">
        <f>IF(SUMIF('regrets 4'!$G14:$K14, "&gt;0") &gt; 0, MAX('regrets 4'!H14, 0) / SUMIF('regrets 4'!$G14:$K14, "&gt;0"), 1 / COUNT('regrets 4'!$G14:$K14))</f>
        <v>0.5</v>
      </c>
      <c r="I14" s="61"/>
      <c r="J14" s="62"/>
      <c r="K14" s="81"/>
      <c r="L14" s="60">
        <f>IF(SUMIF('regrets 4'!$L14:$P14, "&gt;0") &gt; 0, MAX('regrets 4'!L14, 0) / SUMIF('regrets 4'!$L14:$P14, "&gt;0"), 1 / COUNT('regrets 4'!$L14:$P14))</f>
        <v>0.5</v>
      </c>
      <c r="M14" s="60">
        <f>IF(SUMIF('regrets 4'!$L14:$P14, "&gt;0") &gt; 0, MAX('regrets 4'!M14, 0) / SUMIF('regrets 4'!$L14:$P14, "&gt;0"), 1 / COUNT('regrets 4'!$L14:$P14))</f>
        <v>0.5</v>
      </c>
      <c r="N14" s="61"/>
      <c r="O14" s="62"/>
      <c r="P14" s="81"/>
      <c r="Q14" s="60">
        <f>IF(SUMIF('regrets 4'!$Q14:$U14, "&gt;0") &gt; 0, MAX('regrets 4'!Q14, 0) / SUMIF('regrets 4'!$Q14:$U14, "&gt;0"), 1 / COUNT('regrets 4'!$Q14:$U14))</f>
        <v>0.5</v>
      </c>
      <c r="R14" s="60">
        <f>IF(SUMIF('regrets 4'!$Q14:$U14, "&gt;0") &gt; 0, MAX('regrets 4'!R14, 0) / SUMIF('regrets 4'!$Q14:$U14, "&gt;0"), 1 / COUNT('regrets 4'!$Q14:$U14))</f>
        <v>0.5</v>
      </c>
      <c r="S14" s="61"/>
      <c r="T14" s="62"/>
      <c r="U14" s="81"/>
    </row>
    <row r="15" spans="1:21" ht="20" customHeight="1" x14ac:dyDescent="0.15">
      <c r="A15" s="12">
        <v>12</v>
      </c>
      <c r="B15" s="61">
        <f>IF(SUMIF('regrets 4'!$B15:$F15, "&gt;0") &gt; 0, MAX('regrets 4'!B15, 0) / SUMIF('regrets 4'!$B15:$F15, "&gt;0"), 1 / COUNT('regrets 4'!$B15:$F15))</f>
        <v>0.5</v>
      </c>
      <c r="C15" s="61">
        <f>IF(SUMIF('regrets 4'!$B15:$F15, "&gt;0") &gt; 0, MAX('regrets 4'!C15, 0) / SUMIF('regrets 4'!$B15:$F15, "&gt;0"), 1 / COUNT('regrets 4'!$B15:$F15))</f>
        <v>0.5</v>
      </c>
      <c r="D15" s="61"/>
      <c r="E15" s="62"/>
      <c r="F15" s="81"/>
      <c r="G15" s="60">
        <f>IF(SUMIF('regrets 4'!$G15:$K15, "&gt;0") &gt; 0, MAX('regrets 4'!G15, 0) / SUMIF('regrets 4'!$G15:$K15, "&gt;0"), 1 / COUNT('regrets 4'!$G15:$K15))</f>
        <v>0.5</v>
      </c>
      <c r="H15" s="60">
        <f>IF(SUMIF('regrets 4'!$G15:$K15, "&gt;0") &gt; 0, MAX('regrets 4'!H15, 0) / SUMIF('regrets 4'!$G15:$K15, "&gt;0"), 1 / COUNT('regrets 4'!$G15:$K15))</f>
        <v>0.5</v>
      </c>
      <c r="I15" s="61"/>
      <c r="J15" s="62"/>
      <c r="K15" s="81"/>
      <c r="L15" s="60">
        <f>IF(SUMIF('regrets 4'!$L15:$P15, "&gt;0") &gt; 0, MAX('regrets 4'!L15, 0) / SUMIF('regrets 4'!$L15:$P15, "&gt;0"), 1 / COUNT('regrets 4'!$L15:$P15))</f>
        <v>0.5</v>
      </c>
      <c r="M15" s="60">
        <f>IF(SUMIF('regrets 4'!$L15:$P15, "&gt;0") &gt; 0, MAX('regrets 4'!M15, 0) / SUMIF('regrets 4'!$L15:$P15, "&gt;0"), 1 / COUNT('regrets 4'!$L15:$P15))</f>
        <v>0.5</v>
      </c>
      <c r="N15" s="61"/>
      <c r="O15" s="62"/>
      <c r="P15" s="81"/>
      <c r="Q15" s="60">
        <f>IF(SUMIF('regrets 4'!$Q15:$U15, "&gt;0") &gt; 0, MAX('regrets 4'!Q15, 0) / SUMIF('regrets 4'!$Q15:$U15, "&gt;0"), 1 / COUNT('regrets 4'!$Q15:$U15))</f>
        <v>0.5</v>
      </c>
      <c r="R15" s="60">
        <f>IF(SUMIF('regrets 4'!$Q15:$U15, "&gt;0") &gt; 0, MAX('regrets 4'!R15, 0) / SUMIF('regrets 4'!$Q15:$U15, "&gt;0"), 1 / COUNT('regrets 4'!$Q15:$U15))</f>
        <v>0.5</v>
      </c>
      <c r="S15" s="61"/>
      <c r="T15" s="62"/>
      <c r="U15" s="81"/>
    </row>
    <row r="16" spans="1:21" ht="20" customHeight="1" x14ac:dyDescent="0.15">
      <c r="A16" s="12">
        <v>13</v>
      </c>
      <c r="B16" s="61">
        <f>IF(SUMIF('regrets 4'!$B16:$F16, "&gt;0") &gt; 0, MAX('regrets 4'!B16, 0) / SUMIF('regrets 4'!$B16:$F16, "&gt;0"), 1 / COUNT('regrets 4'!$B16:$F16))</f>
        <v>0.5</v>
      </c>
      <c r="C16" s="61">
        <f>IF(SUMIF('regrets 4'!$B16:$F16, "&gt;0") &gt; 0, MAX('regrets 4'!C16, 0) / SUMIF('regrets 4'!$B16:$F16, "&gt;0"), 1 / COUNT('regrets 4'!$B16:$F16))</f>
        <v>0.5</v>
      </c>
      <c r="D16" s="61"/>
      <c r="E16" s="62"/>
      <c r="F16" s="81"/>
      <c r="G16" s="60">
        <f>IF(SUMIF('regrets 4'!$G16:$K16, "&gt;0") &gt; 0, MAX('regrets 4'!G16, 0) / SUMIF('regrets 4'!$G16:$K16, "&gt;0"), 1 / COUNT('regrets 4'!$G16:$K16))</f>
        <v>0</v>
      </c>
      <c r="H16" s="60">
        <f>IF(SUMIF('regrets 4'!$G16:$K16, "&gt;0") &gt; 0, MAX('regrets 4'!H16, 0) / SUMIF('regrets 4'!$G16:$K16, "&gt;0"), 1 / COUNT('regrets 4'!$G16:$K16))</f>
        <v>1</v>
      </c>
      <c r="I16" s="61"/>
      <c r="J16" s="62"/>
      <c r="K16" s="81"/>
      <c r="L16" s="60">
        <f>IF(SUMIF('regrets 4'!$L16:$P16, "&gt;0") &gt; 0, MAX('regrets 4'!L16, 0) / SUMIF('regrets 4'!$L16:$P16, "&gt;0"), 1 / COUNT('regrets 4'!$L16:$P16))</f>
        <v>0.5</v>
      </c>
      <c r="M16" s="60">
        <f>IF(SUMIF('regrets 4'!$L16:$P16, "&gt;0") &gt; 0, MAX('regrets 4'!M16, 0) / SUMIF('regrets 4'!$L16:$P16, "&gt;0"), 1 / COUNT('regrets 4'!$L16:$P16))</f>
        <v>0.5</v>
      </c>
      <c r="N16" s="61"/>
      <c r="O16" s="62"/>
      <c r="P16" s="81"/>
      <c r="Q16" s="60">
        <f>IF(SUMIF('regrets 4'!$Q16:$U16, "&gt;0") &gt; 0, MAX('regrets 4'!Q16, 0) / SUMIF('regrets 4'!$Q16:$U16, "&gt;0"), 1 / COUNT('regrets 4'!$Q16:$U16))</f>
        <v>0.5</v>
      </c>
      <c r="R16" s="60">
        <f>IF(SUMIF('regrets 4'!$Q16:$U16, "&gt;0") &gt; 0, MAX('regrets 4'!R16, 0) / SUMIF('regrets 4'!$Q16:$U16, "&gt;0"), 1 / COUNT('regrets 4'!$Q16:$U16))</f>
        <v>0.5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f>IF(SUMIF('regrets 4'!$B17:$F17, "&gt;0") &gt; 0, MAX('regrets 4'!C17, 0) / SUMIF('regrets 4'!$B17:$F17, "&gt;0"), 1 / COUNT('regrets 4'!$B17:$F17))</f>
        <v>0.5</v>
      </c>
      <c r="D17" s="61">
        <f>IF(SUMIF('regrets 4'!$B17:$F17, "&gt;0") &gt; 0, MAX('regrets 4'!D17, 0) / SUMIF('regrets 4'!$B17:$F17, "&gt;0"), 1 / COUNT('regrets 4'!$B17:$F17))</f>
        <v>0.5</v>
      </c>
      <c r="E17" s="62"/>
      <c r="F17" s="81"/>
      <c r="G17" s="60"/>
      <c r="H17" s="60">
        <f>IF(SUMIF('regrets 4'!$G17:$K17, "&gt;0") &gt; 0, MAX('regrets 4'!H17, 0) / SUMIF('regrets 4'!$G17:$K17, "&gt;0"), 1 / COUNT('regrets 4'!$G17:$K17))</f>
        <v>0.5</v>
      </c>
      <c r="I17" s="60">
        <f>IF(SUMIF('regrets 4'!$G17:$K17, "&gt;0") &gt; 0, MAX('regrets 4'!I17, 0) / SUMIF('regrets 4'!$G17:$K17, "&gt;0"), 1 / COUNT('regrets 4'!$G17:$K17))</f>
        <v>0.5</v>
      </c>
      <c r="J17" s="62"/>
      <c r="K17" s="81"/>
      <c r="L17" s="60"/>
      <c r="M17" s="60">
        <f>IF(SUMIF('regrets 4'!$L17:$P17, "&gt;0") &gt; 0, MAX('regrets 4'!M17, 0) / SUMIF('regrets 4'!$L17:$P17, "&gt;0"), 1 / COUNT('regrets 4'!$L17:$P17))</f>
        <v>0.5</v>
      </c>
      <c r="N17" s="60">
        <f>IF(SUMIF('regrets 4'!$L17:$P17, "&gt;0") &gt; 0, MAX('regrets 4'!N17, 0) / SUMIF('regrets 4'!$L17:$P17, "&gt;0"), 1 / COUNT('regrets 4'!$L17:$P17))</f>
        <v>0.5</v>
      </c>
      <c r="O17" s="62"/>
      <c r="P17" s="81"/>
      <c r="Q17" s="60"/>
      <c r="R17" s="60">
        <f>IF(SUMIF('regrets 4'!$Q17:$U17, "&gt;0") &gt; 0, MAX('regrets 4'!R17, 0) / SUMIF('regrets 4'!$Q17:$U17, "&gt;0"), 1 / COUNT('regrets 4'!$Q17:$U17))</f>
        <v>0.5</v>
      </c>
      <c r="S17" s="60">
        <f>IF(SUMIF('regrets 4'!$Q17:$U17, "&gt;0") &gt; 0, MAX('regrets 4'!S17, 0) / SUMIF('regrets 4'!$Q17:$U17, "&gt;0"), 1 / COUNT('regrets 4'!$Q17:$U17))</f>
        <v>0.5</v>
      </c>
      <c r="T17" s="62"/>
      <c r="U17" s="81"/>
    </row>
    <row r="18" spans="1:21" ht="20" customHeight="1" x14ac:dyDescent="0.15">
      <c r="A18" s="12">
        <v>15</v>
      </c>
      <c r="B18" s="61">
        <f>IF(SUMIF('regrets 4'!$B18:$F18, "&gt;0") &gt; 0, MAX('regrets 4'!B18, 0) / SUMIF('regrets 4'!$B18:$F18, "&gt;0"), 1 / COUNT('regrets 4'!$B18:$F18))</f>
        <v>0.5</v>
      </c>
      <c r="C18" s="61">
        <f>IF(SUMIF('regrets 4'!$B18:$F18, "&gt;0") &gt; 0, MAX('regrets 4'!C18, 0) / SUMIF('regrets 4'!$B18:$F18, "&gt;0"), 1 / COUNT('regrets 4'!$B18:$F18))</f>
        <v>0.5</v>
      </c>
      <c r="D18" s="61"/>
      <c r="E18" s="62"/>
      <c r="F18" s="81"/>
      <c r="G18" s="60">
        <f>IF(SUMIF('regrets 4'!$G18:$K18, "&gt;0") &gt; 0, MAX('regrets 4'!G18, 0) / SUMIF('regrets 4'!$G18:$K18, "&gt;0"), 1 / COUNT('regrets 4'!$G18:$K18))</f>
        <v>0.5</v>
      </c>
      <c r="H18" s="60">
        <f>IF(SUMIF('regrets 4'!$G18:$K18, "&gt;0") &gt; 0, MAX('regrets 4'!H18, 0) / SUMIF('regrets 4'!$G18:$K18, "&gt;0"), 1 / COUNT('regrets 4'!$G18:$K18))</f>
        <v>0.5</v>
      </c>
      <c r="I18" s="61"/>
      <c r="J18" s="62"/>
      <c r="K18" s="81"/>
      <c r="L18" s="60">
        <f>IF(SUMIF('regrets 4'!$L18:$P18, "&gt;0") &gt; 0, MAX('regrets 4'!L18, 0) / SUMIF('regrets 4'!$L18:$P18, "&gt;0"), 1 / COUNT('regrets 4'!$L18:$P18))</f>
        <v>0.5</v>
      </c>
      <c r="M18" s="60">
        <f>IF(SUMIF('regrets 4'!$L18:$P18, "&gt;0") &gt; 0, MAX('regrets 4'!M18, 0) / SUMIF('regrets 4'!$L18:$P18, "&gt;0"), 1 / COUNT('regrets 4'!$L18:$P18))</f>
        <v>0.5</v>
      </c>
      <c r="N18" s="61"/>
      <c r="O18" s="62"/>
      <c r="P18" s="81"/>
      <c r="Q18" s="60">
        <f>IF(SUMIF('regrets 4'!$Q18:$U18, "&gt;0") &gt; 0, MAX('regrets 4'!Q18, 0) / SUMIF('regrets 4'!$Q18:$U18, "&gt;0"), 1 / COUNT('regrets 4'!$Q18:$U18))</f>
        <v>0.5</v>
      </c>
      <c r="R18" s="60">
        <f>IF(SUMIF('regrets 4'!$Q18:$U18, "&gt;0") &gt; 0, MAX('regrets 4'!R18, 0) / SUMIF('regrets 4'!$Q18:$U18, "&gt;0"), 1 / COUNT('regrets 4'!$Q18:$U18))</f>
        <v>0.5</v>
      </c>
      <c r="S18" s="61"/>
      <c r="T18" s="62"/>
      <c r="U18" s="81"/>
    </row>
    <row r="19" spans="1:21" ht="20" customHeight="1" x14ac:dyDescent="0.15">
      <c r="A19" s="12">
        <v>16</v>
      </c>
      <c r="B19" s="61">
        <f>IF(SUMIF('regrets 4'!$B19:$F19, "&gt;0") &gt; 0, MAX('regrets 4'!B19, 0) / SUMIF('regrets 4'!$B19:$F19, "&gt;0"), 1 / COUNT('regrets 4'!$B19:$F19))</f>
        <v>0.5</v>
      </c>
      <c r="C19" s="61">
        <f>IF(SUMIF('regrets 4'!$B19:$F19, "&gt;0") &gt; 0, MAX('regrets 4'!C19, 0) / SUMIF('regrets 4'!$B19:$F19, "&gt;0"), 1 / COUNT('regrets 4'!$B19:$F19))</f>
        <v>0.5</v>
      </c>
      <c r="D19" s="61"/>
      <c r="E19" s="62"/>
      <c r="F19" s="81"/>
      <c r="G19" s="60">
        <f>IF(SUMIF('regrets 4'!$G19:$K19, "&gt;0") &gt; 0, MAX('regrets 4'!G19, 0) / SUMIF('regrets 4'!$G19:$K19, "&gt;0"), 1 / COUNT('regrets 4'!$G19:$K19))</f>
        <v>0.5</v>
      </c>
      <c r="H19" s="60">
        <f>IF(SUMIF('regrets 4'!$G19:$K19, "&gt;0") &gt; 0, MAX('regrets 4'!H19, 0) / SUMIF('regrets 4'!$G19:$K19, "&gt;0"), 1 / COUNT('regrets 4'!$G19:$K19))</f>
        <v>0.5</v>
      </c>
      <c r="I19" s="61"/>
      <c r="J19" s="62"/>
      <c r="K19" s="81"/>
      <c r="L19" s="60">
        <f>IF(SUMIF('regrets 4'!$L19:$P19, "&gt;0") &gt; 0, MAX('regrets 4'!L19, 0) / SUMIF('regrets 4'!$L19:$P19, "&gt;0"), 1 / COUNT('regrets 4'!$L19:$P19))</f>
        <v>0.5</v>
      </c>
      <c r="M19" s="60">
        <f>IF(SUMIF('regrets 4'!$L19:$P19, "&gt;0") &gt; 0, MAX('regrets 4'!M19, 0) / SUMIF('regrets 4'!$L19:$P19, "&gt;0"), 1 / COUNT('regrets 4'!$L19:$P19))</f>
        <v>0.5</v>
      </c>
      <c r="N19" s="61"/>
      <c r="O19" s="62"/>
      <c r="P19" s="81"/>
      <c r="Q19" s="60">
        <f>IF(SUMIF('regrets 4'!$Q19:$U19, "&gt;0") &gt; 0, MAX('regrets 4'!Q19, 0) / SUMIF('regrets 4'!$Q19:$U19, "&gt;0"), 1 / COUNT('regrets 4'!$Q19:$U19))</f>
        <v>0.5</v>
      </c>
      <c r="R19" s="60">
        <f>IF(SUMIF('regrets 4'!$Q19:$U19, "&gt;0") &gt; 0, MAX('regrets 4'!R19, 0) / SUMIF('regrets 4'!$Q19:$U19, "&gt;0"), 1 / COUNT('regrets 4'!$Q19:$U19))</f>
        <v>0.5</v>
      </c>
      <c r="S19" s="61"/>
      <c r="T19" s="62"/>
      <c r="U19" s="81"/>
    </row>
    <row r="20" spans="1:21" ht="20.75" customHeight="1" thickBot="1" x14ac:dyDescent="0.2">
      <c r="A20" s="17">
        <v>17</v>
      </c>
      <c r="B20" s="61">
        <f>IF(SUMIF('regrets 4'!$B20:$F20, "&gt;0") &gt; 0, MAX('regrets 4'!B20, 0) / SUMIF('regrets 4'!$B20:$F20, "&gt;0"), 1 / COUNT('regrets 4'!$B20:$F20))</f>
        <v>0.5</v>
      </c>
      <c r="C20" s="61">
        <f>IF(SUMIF('regrets 4'!$B20:$F20, "&gt;0") &gt; 0, MAX('regrets 4'!C20, 0) / SUMIF('regrets 4'!$B20:$F20, "&gt;0"), 1 / COUNT('regrets 4'!$B20:$F20))</f>
        <v>0.5</v>
      </c>
      <c r="D20" s="83"/>
      <c r="E20" s="75"/>
      <c r="F20" s="84"/>
      <c r="G20" s="60">
        <f>IF(SUMIF('regrets 4'!$G20:$K20, "&gt;0") &gt; 0, MAX('regrets 4'!G20, 0) / SUMIF('regrets 4'!$G20:$K20, "&gt;0"), 1 / COUNT('regrets 4'!$G20:$K20))</f>
        <v>0.5</v>
      </c>
      <c r="H20" s="60">
        <f>IF(SUMIF('regrets 4'!$G20:$K20, "&gt;0") &gt; 0, MAX('regrets 4'!H20, 0) / SUMIF('regrets 4'!$G20:$K20, "&gt;0"), 1 / COUNT('regrets 4'!$G20:$K20))</f>
        <v>0.5</v>
      </c>
      <c r="I20" s="83"/>
      <c r="J20" s="75"/>
      <c r="K20" s="84"/>
      <c r="L20" s="60">
        <f>IF(SUMIF('regrets 4'!$L20:$P20, "&gt;0") &gt; 0, MAX('regrets 4'!L20, 0) / SUMIF('regrets 4'!$L20:$P20, "&gt;0"), 1 / COUNT('regrets 4'!$L20:$P20))</f>
        <v>0.5</v>
      </c>
      <c r="M20" s="60">
        <f>IF(SUMIF('regrets 4'!$L20:$P20, "&gt;0") &gt; 0, MAX('regrets 4'!M20, 0) / SUMIF('regrets 4'!$L20:$P20, "&gt;0"), 1 / COUNT('regrets 4'!$L20:$P20))</f>
        <v>0.5</v>
      </c>
      <c r="N20" s="83"/>
      <c r="O20" s="75"/>
      <c r="P20" s="84"/>
      <c r="Q20" s="60">
        <f>IF(SUMIF('regrets 4'!$Q20:$U20, "&gt;0") &gt; 0, MAX('regrets 4'!Q20, 0) / SUMIF('regrets 4'!$Q20:$U20, "&gt;0"), 1 / COUNT('regrets 4'!$Q20:$U20))</f>
        <v>0.5</v>
      </c>
      <c r="R20" s="60">
        <f>IF(SUMIF('regrets 4'!$Q20:$U20, "&gt;0") &gt; 0, MAX('regrets 4'!R20, 0) / SUMIF('regrets 4'!$Q20:$U20, "&gt;0"), 1 / COUNT('regrets 4'!$Q20:$U20))</f>
        <v>0.5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IF(SUMIF('regrets 4'!$B21:$F21, "&gt;0") &gt; 0, MAX('regrets 4'!C21, 0) / SUMIF('regrets 4'!$B21:$F21, "&gt;0"), 1 / COUNT('regrets 4'!$B21:$F21))</f>
        <v>0.5</v>
      </c>
      <c r="D21" s="68">
        <f>IF(SUMIF('regrets 4'!$B21:$F21, "&gt;0") &gt; 0, MAX('regrets 4'!D21, 0) / SUMIF('regrets 4'!$B21:$F21, "&gt;0"), 1 / COUNT('regrets 4'!$B21:$F21))</f>
        <v>0.5</v>
      </c>
      <c r="E21" s="67"/>
      <c r="F21" s="86"/>
      <c r="G21" s="87"/>
      <c r="H21" s="68">
        <f>IF(SUMIF('regrets 4'!$G21:$K21, "&gt;0") &gt; 0, MAX('regrets 4'!H21, 0) / SUMIF('regrets 4'!$G21:$K21, "&gt;0"), 1 / COUNT('regrets 4'!$G21:$K21))</f>
        <v>0</v>
      </c>
      <c r="I21" s="68">
        <f>IF(SUMIF('regrets 4'!$G21:$K21, "&gt;0") &gt; 0, MAX('regrets 4'!I21, 0) / SUMIF('regrets 4'!$G21:$K21, "&gt;0"), 1 / COUNT('regrets 4'!$G21:$K21))</f>
        <v>1</v>
      </c>
      <c r="J21" s="67"/>
      <c r="K21" s="86"/>
      <c r="L21" s="88"/>
      <c r="M21" s="67">
        <f>IF(SUMIF('regrets 4'!$L21:$P21, "&gt;0") &gt; 0, MAX('regrets 4'!M21, 0) / SUMIF('regrets 4'!$L21:$P21, "&gt;0"), 1 / COUNT('regrets 4'!$L21:$P21))</f>
        <v>0.5</v>
      </c>
      <c r="N21" s="67">
        <f>IF(SUMIF('regrets 4'!$L21:$P21, "&gt;0") &gt; 0, MAX('regrets 4'!N21, 0) / SUMIF('regrets 4'!$L21:$P21, "&gt;0"), 1 / COUNT('regrets 4'!$L21:$P21))</f>
        <v>0.5</v>
      </c>
      <c r="O21" s="67"/>
      <c r="P21" s="89"/>
      <c r="Q21" s="87"/>
      <c r="R21" s="68">
        <f>IF(SUMIF('regrets 4'!$Q21:$U21, "&gt;0") &gt; 0, MAX('regrets 4'!R21, 0) / SUMIF('regrets 4'!$Q21:$U21, "&gt;0"), 1 / COUNT('regrets 4'!$Q21:$U21))</f>
        <v>0.5</v>
      </c>
      <c r="S21" s="68">
        <f>IF(SUMIF('regrets 4'!$Q21:$U21, "&gt;0") &gt; 0, MAX('regrets 4'!S21, 0) / SUMIF('regrets 4'!$Q21:$U21, "&gt;0"), 1 / COUNT('regrets 4'!$Q21:$U21))</f>
        <v>0.5</v>
      </c>
      <c r="T21" s="67"/>
      <c r="U21" s="86"/>
    </row>
    <row r="22" spans="1:21" ht="20" customHeight="1" x14ac:dyDescent="0.15">
      <c r="A22" s="12">
        <v>1</v>
      </c>
      <c r="B22" s="61">
        <f>IF(SUMIF('regrets 4'!$B22:$F22, "&gt;0") &gt; 0, MAX('regrets 4'!B22, 0) / SUMIF('regrets 4'!$B22:$F22, "&gt;0"), 1 / COUNT('regrets 4'!$B22:$F22))</f>
        <v>0.5</v>
      </c>
      <c r="C22" s="61">
        <f>IF(SUMIF('regrets 4'!$B22:$F22, "&gt;0") &gt; 0, MAX('regrets 4'!C22, 0) / SUMIF('regrets 4'!$B22:$F22, "&gt;0"), 1 / COUNT('regrets 4'!$B22:$F22))</f>
        <v>0.5</v>
      </c>
      <c r="D22" s="61"/>
      <c r="E22" s="62"/>
      <c r="F22" s="90"/>
      <c r="G22" s="60">
        <f>IF(SUMIF('regrets 4'!$G22:$K22, "&gt;0") &gt; 0, MAX('regrets 4'!G22, 0) / SUMIF('regrets 4'!$G22:$K22, "&gt;0"), 1 / COUNT('regrets 4'!$G22:$K22))</f>
        <v>0.5</v>
      </c>
      <c r="H22" s="60">
        <f>IF(SUMIF('regrets 4'!$G22:$K22, "&gt;0") &gt; 0, MAX('regrets 4'!H22, 0) / SUMIF('regrets 4'!$G22:$K22, "&gt;0"), 1 / COUNT('regrets 4'!$G22:$K22))</f>
        <v>0.5</v>
      </c>
      <c r="I22" s="61"/>
      <c r="J22" s="62"/>
      <c r="K22" s="90"/>
      <c r="L22" s="60">
        <f>IF(SUMIF('regrets 4'!$L22:$P22, "&gt;0") &gt; 0, MAX('regrets 4'!L22, 0) / SUMIF('regrets 4'!$L22:$P22, "&gt;0"), 1 / COUNT('regrets 4'!$L22:$P22))</f>
        <v>0.5</v>
      </c>
      <c r="M22" s="60">
        <f>IF(SUMIF('regrets 4'!$L22:$P22, "&gt;0") &gt; 0, MAX('regrets 4'!M22, 0) / SUMIF('regrets 4'!$L22:$P22, "&gt;0"), 1 / COUNT('regrets 4'!$L22:$P22))</f>
        <v>0.5</v>
      </c>
      <c r="N22" s="62"/>
      <c r="O22" s="62"/>
      <c r="P22" s="81"/>
      <c r="Q22" s="60">
        <f>IF(SUMIF('regrets 4'!$Q22:$U22, "&gt;0") &gt; 0, MAX('regrets 4'!Q22, 0) / SUMIF('regrets 4'!$Q22:$U22, "&gt;0"), 1 / COUNT('regrets 4'!$Q22:$U22))</f>
        <v>0.5</v>
      </c>
      <c r="R22" s="60">
        <f>IF(SUMIF('regrets 4'!$Q22:$U22, "&gt;0") &gt; 0, MAX('regrets 4'!R22, 0) / SUMIF('regrets 4'!$Q22:$U22, "&gt;0"), 1 / COUNT('regrets 4'!$Q22:$U22))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IF(SUMIF('regrets 4'!$B23:$F23, "&gt;0") &gt; 0, MAX('regrets 4'!C23, 0) / SUMIF('regrets 4'!$B23:$F23, "&gt;0"), 1 / COUNT('regrets 4'!$B23:$F23))</f>
        <v>0.5</v>
      </c>
      <c r="D23" s="61">
        <f>IF(SUMIF('regrets 4'!$B23:$F23, "&gt;0") &gt; 0, MAX('regrets 4'!D23, 0) / SUMIF('regrets 4'!$B23:$F23, "&gt;0"), 1 / COUNT('regrets 4'!$B23:$F23))</f>
        <v>0.5</v>
      </c>
      <c r="E23" s="62"/>
      <c r="F23" s="90"/>
      <c r="G23" s="60"/>
      <c r="H23" s="60">
        <f>IF(SUMIF('regrets 4'!$G23:$K23, "&gt;0") &gt; 0, MAX('regrets 4'!H23, 0) / SUMIF('regrets 4'!$G23:$K23, "&gt;0"), 1 / COUNT('regrets 4'!$G23:$K23))</f>
        <v>0.5</v>
      </c>
      <c r="I23" s="60">
        <f>IF(SUMIF('regrets 4'!$G23:$K23, "&gt;0") &gt; 0, MAX('regrets 4'!I23, 0) / SUMIF('regrets 4'!$G23:$K23, "&gt;0"), 1 / COUNT('regrets 4'!$G23:$K23))</f>
        <v>0.5</v>
      </c>
      <c r="J23" s="62"/>
      <c r="K23" s="90"/>
      <c r="L23" s="66"/>
      <c r="M23" s="60">
        <f>IF(SUMIF('regrets 4'!$L23:$P23, "&gt;0") &gt; 0, MAX('regrets 4'!M23, 0) / SUMIF('regrets 4'!$L23:$P23, "&gt;0"), 1 / COUNT('regrets 4'!$L23:$P23))</f>
        <v>0.5</v>
      </c>
      <c r="N23" s="60">
        <f>IF(SUMIF('regrets 4'!$L23:$P23, "&gt;0") &gt; 0, MAX('regrets 4'!N23, 0) / SUMIF('regrets 4'!$L23:$P23, "&gt;0"), 1 / COUNT('regrets 4'!$L23:$P23))</f>
        <v>0.5</v>
      </c>
      <c r="O23" s="62"/>
      <c r="P23" s="81"/>
      <c r="Q23" s="60"/>
      <c r="R23" s="60">
        <f>IF(SUMIF('regrets 4'!$Q23:$U23, "&gt;0") &gt; 0, MAX('regrets 4'!R23, 0) / SUMIF('regrets 4'!$Q23:$U23, "&gt;0"), 1 / COUNT('regrets 4'!$Q23:$U23))</f>
        <v>0.5</v>
      </c>
      <c r="S23" s="60">
        <f>IF(SUMIF('regrets 4'!$Q23:$U23, "&gt;0") &gt; 0, MAX('regrets 4'!S23, 0) / SUMIF('regrets 4'!$Q23:$U23, "&gt;0"), 1 / COUNT('regrets 4'!$Q23:$U23))</f>
        <v>0.5</v>
      </c>
      <c r="T23" s="62"/>
      <c r="U23" s="90"/>
    </row>
    <row r="24" spans="1:21" ht="20" customHeight="1" x14ac:dyDescent="0.15">
      <c r="A24" s="12">
        <v>3</v>
      </c>
      <c r="B24" s="61">
        <f>IF(SUMIF('regrets 4'!$B24:$F24, "&gt;0") &gt; 0, MAX('regrets 4'!B24, 0) / SUMIF('regrets 4'!$B24:$F24, "&gt;0"), 1 / COUNT('regrets 4'!$B24:$F24))</f>
        <v>0.5</v>
      </c>
      <c r="C24" s="61">
        <f>IF(SUMIF('regrets 4'!$B24:$F24, "&gt;0") &gt; 0, MAX('regrets 4'!C24, 0) / SUMIF('regrets 4'!$B24:$F24, "&gt;0"), 1 / COUNT('regrets 4'!$B24:$F24))</f>
        <v>0.5</v>
      </c>
      <c r="D24" s="61"/>
      <c r="E24" s="62"/>
      <c r="F24" s="90"/>
      <c r="G24" s="60">
        <f>IF(SUMIF('regrets 4'!$G24:$K24, "&gt;0") &gt; 0, MAX('regrets 4'!G24, 0) / SUMIF('regrets 4'!$G24:$K24, "&gt;0"), 1 / COUNT('regrets 4'!$G24:$K24))</f>
        <v>0</v>
      </c>
      <c r="H24" s="60">
        <f>IF(SUMIF('regrets 4'!$G24:$K24, "&gt;0") &gt; 0, MAX('regrets 4'!H24, 0) / SUMIF('regrets 4'!$G24:$K24, "&gt;0"), 1 / COUNT('regrets 4'!$G24:$K24))</f>
        <v>1</v>
      </c>
      <c r="I24" s="61"/>
      <c r="J24" s="62"/>
      <c r="K24" s="90"/>
      <c r="L24" s="60">
        <f>IF(SUMIF('regrets 4'!$L24:$P24, "&gt;0") &gt; 0, MAX('regrets 4'!L24, 0) / SUMIF('regrets 4'!$L24:$P24, "&gt;0"), 1 / COUNT('regrets 4'!$L24:$P24))</f>
        <v>0.5</v>
      </c>
      <c r="M24" s="60">
        <f>IF(SUMIF('regrets 4'!$L24:$P24, "&gt;0") &gt; 0, MAX('regrets 4'!M24, 0) / SUMIF('regrets 4'!$L24:$P24, "&gt;0"), 1 / COUNT('regrets 4'!$L24:$P24))</f>
        <v>0.5</v>
      </c>
      <c r="N24" s="62"/>
      <c r="O24" s="62"/>
      <c r="P24" s="81"/>
      <c r="Q24" s="60">
        <f>IF(SUMIF('regrets 4'!$Q24:$U24, "&gt;0") &gt; 0, MAX('regrets 4'!Q24, 0) / SUMIF('regrets 4'!$Q24:$U24, "&gt;0"), 1 / COUNT('regrets 4'!$Q24:$U24))</f>
        <v>0.5</v>
      </c>
      <c r="R24" s="60">
        <f>IF(SUMIF('regrets 4'!$Q24:$U24, "&gt;0") &gt; 0, MAX('regrets 4'!R24, 0) / SUMIF('regrets 4'!$Q24:$U24, "&gt;0"), 1 / COUNT('regrets 4'!$Q24:$U24))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IF(SUMIF('regrets 4'!$B25:$F25, "&gt;0") &gt; 0, MAX('regrets 4'!C25, 0) / SUMIF('regrets 4'!$B25:$F25, "&gt;0"), 1 / COUNT('regrets 4'!$B25:$F25))</f>
        <v>0.5</v>
      </c>
      <c r="D25" s="61">
        <f>IF(SUMIF('regrets 4'!$B25:$F25, "&gt;0") &gt; 0, MAX('regrets 4'!D25, 0) / SUMIF('regrets 4'!$B25:$F25, "&gt;0"), 1 / COUNT('regrets 4'!$B25:$F25))</f>
        <v>0.5</v>
      </c>
      <c r="E25" s="62"/>
      <c r="F25" s="90"/>
      <c r="G25" s="60"/>
      <c r="H25" s="60">
        <f>IF(SUMIF('regrets 4'!$G25:$K25, "&gt;0") &gt; 0, MAX('regrets 4'!H25, 0) / SUMIF('regrets 4'!$G25:$K25, "&gt;0"), 1 / COUNT('regrets 4'!$G25:$K25))</f>
        <v>0.5</v>
      </c>
      <c r="I25" s="60">
        <f>IF(SUMIF('regrets 4'!$G25:$K25, "&gt;0") &gt; 0, MAX('regrets 4'!I25, 0) / SUMIF('regrets 4'!$G25:$K25, "&gt;0"), 1 / COUNT('regrets 4'!$G25:$K25))</f>
        <v>0.5</v>
      </c>
      <c r="J25" s="62"/>
      <c r="K25" s="90"/>
      <c r="L25" s="66"/>
      <c r="M25" s="60">
        <f>IF(SUMIF('regrets 4'!$L25:$P25, "&gt;0") &gt; 0, MAX('regrets 4'!M25, 0) / SUMIF('regrets 4'!$L25:$P25, "&gt;0"), 1 / COUNT('regrets 4'!$L25:$P25))</f>
        <v>0.5</v>
      </c>
      <c r="N25" s="60">
        <f>IF(SUMIF('regrets 4'!$L25:$P25, "&gt;0") &gt; 0, MAX('regrets 4'!N25, 0) / SUMIF('regrets 4'!$L25:$P25, "&gt;0"), 1 / COUNT('regrets 4'!$L25:$P25))</f>
        <v>0.5</v>
      </c>
      <c r="O25" s="62"/>
      <c r="P25" s="81"/>
      <c r="Q25" s="60"/>
      <c r="R25" s="60">
        <f>IF(SUMIF('regrets 4'!$Q25:$U25, "&gt;0") &gt; 0, MAX('regrets 4'!R25, 0) / SUMIF('regrets 4'!$Q25:$U25, "&gt;0"), 1 / COUNT('regrets 4'!$Q25:$U25))</f>
        <v>0.5</v>
      </c>
      <c r="S25" s="60">
        <f>IF(SUMIF('regrets 4'!$Q25:$U25, "&gt;0") &gt; 0, MAX('regrets 4'!S25, 0) / SUMIF('regrets 4'!$Q25:$U25, "&gt;0"), 1 / COUNT('regrets 4'!$Q25:$U25))</f>
        <v>0.5</v>
      </c>
      <c r="T25" s="62"/>
      <c r="U25" s="90"/>
    </row>
    <row r="26" spans="1:21" ht="20" customHeight="1" x14ac:dyDescent="0.15">
      <c r="A26" s="12">
        <v>5</v>
      </c>
      <c r="B26" s="61">
        <f>IF(SUMIF('regrets 4'!$B26:$F26, "&gt;0") &gt; 0, MAX('regrets 4'!B26, 0) / SUMIF('regrets 4'!$B26:$F26, "&gt;0"), 1 / COUNT('regrets 4'!$B26:$F26))</f>
        <v>0.5</v>
      </c>
      <c r="C26" s="61">
        <f>IF(SUMIF('regrets 4'!$B26:$F26, "&gt;0") &gt; 0, MAX('regrets 4'!C26, 0) / SUMIF('regrets 4'!$B26:$F26, "&gt;0"), 1 / COUNT('regrets 4'!$B26:$F26))</f>
        <v>0.5</v>
      </c>
      <c r="D26" s="61"/>
      <c r="E26" s="62"/>
      <c r="F26" s="90"/>
      <c r="G26" s="60">
        <f>IF(SUMIF('regrets 4'!$G26:$K26, "&gt;0") &gt; 0, MAX('regrets 4'!G26, 0) / SUMIF('regrets 4'!$G26:$K26, "&gt;0"), 1 / COUNT('regrets 4'!$G26:$K26))</f>
        <v>1</v>
      </c>
      <c r="H26" s="60">
        <f>IF(SUMIF('regrets 4'!$G26:$K26, "&gt;0") &gt; 0, MAX('regrets 4'!H26, 0) / SUMIF('regrets 4'!$G26:$K26, "&gt;0"), 1 / COUNT('regrets 4'!$G26:$K26))</f>
        <v>0</v>
      </c>
      <c r="I26" s="61"/>
      <c r="J26" s="62"/>
      <c r="K26" s="90"/>
      <c r="L26" s="60">
        <f>IF(SUMIF('regrets 4'!$L26:$P26, "&gt;0") &gt; 0, MAX('regrets 4'!L26, 0) / SUMIF('regrets 4'!$L26:$P26, "&gt;0"), 1 / COUNT('regrets 4'!$L26:$P26))</f>
        <v>1</v>
      </c>
      <c r="M26" s="60">
        <f>IF(SUMIF('regrets 4'!$L26:$P26, "&gt;0") &gt; 0, MAX('regrets 4'!M26, 0) / SUMIF('regrets 4'!$L26:$P26, "&gt;0"), 1 / COUNT('regrets 4'!$L26:$P26))</f>
        <v>0</v>
      </c>
      <c r="N26" s="62"/>
      <c r="O26" s="62"/>
      <c r="P26" s="81"/>
      <c r="Q26" s="60">
        <f>IF(SUMIF('regrets 4'!$Q26:$U26, "&gt;0") &gt; 0, MAX('regrets 4'!Q26, 0) / SUMIF('regrets 4'!$Q26:$U26, "&gt;0"), 1 / COUNT('regrets 4'!$Q26:$U26))</f>
        <v>0.5</v>
      </c>
      <c r="R26" s="60">
        <f>IF(SUMIF('regrets 4'!$Q26:$U26, "&gt;0") &gt; 0, MAX('regrets 4'!R26, 0) / SUMIF('regrets 4'!$Q26:$U26, "&gt;0"), 1 / COUNT('regrets 4'!$Q26:$U26))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IF(SUMIF('regrets 4'!$B27:$F27, "&gt;0") &gt; 0, MAX('regrets 4'!C27, 0) / SUMIF('regrets 4'!$B27:$F27, "&gt;0"), 1 / COUNT('regrets 4'!$B27:$F27))</f>
        <v>0</v>
      </c>
      <c r="D27" s="61">
        <f>IF(SUMIF('regrets 4'!$B27:$F27, "&gt;0") &gt; 0, MAX('regrets 4'!D27, 0) / SUMIF('regrets 4'!$B27:$F27, "&gt;0"), 1 / COUNT('regrets 4'!$B27:$F27))</f>
        <v>1</v>
      </c>
      <c r="E27" s="62"/>
      <c r="F27" s="90"/>
      <c r="G27" s="60"/>
      <c r="H27" s="60">
        <f>IF(SUMIF('regrets 4'!$G27:$K27, "&gt;0") &gt; 0, MAX('regrets 4'!H27, 0) / SUMIF('regrets 4'!$G27:$K27, "&gt;0"), 1 / COUNT('regrets 4'!$G27:$K27))</f>
        <v>0.5</v>
      </c>
      <c r="I27" s="60">
        <f>IF(SUMIF('regrets 4'!$G27:$K27, "&gt;0") &gt; 0, MAX('regrets 4'!I27, 0) / SUMIF('regrets 4'!$G27:$K27, "&gt;0"), 1 / COUNT('regrets 4'!$G27:$K27))</f>
        <v>0.5</v>
      </c>
      <c r="J27" s="62"/>
      <c r="K27" s="90"/>
      <c r="L27" s="66"/>
      <c r="M27" s="60">
        <f>IF(SUMIF('regrets 4'!$L27:$P27, "&gt;0") &gt; 0, MAX('regrets 4'!M27, 0) / SUMIF('regrets 4'!$L27:$P27, "&gt;0"), 1 / COUNT('regrets 4'!$L27:$P27))</f>
        <v>0.5</v>
      </c>
      <c r="N27" s="60">
        <f>IF(SUMIF('regrets 4'!$L27:$P27, "&gt;0") &gt; 0, MAX('regrets 4'!N27, 0) / SUMIF('regrets 4'!$L27:$P27, "&gt;0"), 1 / COUNT('regrets 4'!$L27:$P27))</f>
        <v>0.5</v>
      </c>
      <c r="O27" s="62"/>
      <c r="P27" s="81"/>
      <c r="Q27" s="60"/>
      <c r="R27" s="60">
        <f>IF(SUMIF('regrets 4'!$Q27:$U27, "&gt;0") &gt; 0, MAX('regrets 4'!R27, 0) / SUMIF('regrets 4'!$Q27:$U27, "&gt;0"), 1 / COUNT('regrets 4'!$Q27:$U27))</f>
        <v>0.5</v>
      </c>
      <c r="S27" s="60">
        <f>IF(SUMIF('regrets 4'!$Q27:$U27, "&gt;0") &gt; 0, MAX('regrets 4'!S27, 0) / SUMIF('regrets 4'!$Q27:$U27, "&gt;0"), 1 / COUNT('regrets 4'!$Q27:$U27))</f>
        <v>0.5</v>
      </c>
      <c r="T27" s="62"/>
      <c r="U27" s="90"/>
    </row>
    <row r="28" spans="1:21" ht="20" customHeight="1" x14ac:dyDescent="0.15">
      <c r="A28" s="12">
        <v>7</v>
      </c>
      <c r="B28" s="61">
        <f>IF(SUMIF('regrets 4'!$B28:$F28, "&gt;0") &gt; 0, MAX('regrets 4'!B28, 0) / SUMIF('regrets 4'!$B28:$F28, "&gt;0"), 1 / COUNT('regrets 4'!$B28:$F28))</f>
        <v>0.5</v>
      </c>
      <c r="C28" s="61">
        <f>IF(SUMIF('regrets 4'!$B28:$F28, "&gt;0") &gt; 0, MAX('regrets 4'!C28, 0) / SUMIF('regrets 4'!$B28:$F28, "&gt;0"), 1 / COUNT('regrets 4'!$B28:$F28))</f>
        <v>0.5</v>
      </c>
      <c r="D28" s="61"/>
      <c r="E28" s="62"/>
      <c r="F28" s="90"/>
      <c r="G28" s="60">
        <f>IF(SUMIF('regrets 4'!$G28:$K28, "&gt;0") &gt; 0, MAX('regrets 4'!G28, 0) / SUMIF('regrets 4'!$G28:$K28, "&gt;0"), 1 / COUNT('regrets 4'!$G28:$K28))</f>
        <v>0.5</v>
      </c>
      <c r="H28" s="60">
        <f>IF(SUMIF('regrets 4'!$G28:$K28, "&gt;0") &gt; 0, MAX('regrets 4'!H28, 0) / SUMIF('regrets 4'!$G28:$K28, "&gt;0"), 1 / COUNT('regrets 4'!$G28:$K28))</f>
        <v>0.5</v>
      </c>
      <c r="I28" s="61"/>
      <c r="J28" s="62"/>
      <c r="K28" s="90"/>
      <c r="L28" s="60">
        <f>IF(SUMIF('regrets 4'!$L28:$P28, "&gt;0") &gt; 0, MAX('regrets 4'!L28, 0) / SUMIF('regrets 4'!$L28:$P28, "&gt;0"), 1 / COUNT('regrets 4'!$L28:$P28))</f>
        <v>0.5</v>
      </c>
      <c r="M28" s="60">
        <f>IF(SUMIF('regrets 4'!$L28:$P28, "&gt;0") &gt; 0, MAX('regrets 4'!M28, 0) / SUMIF('regrets 4'!$L28:$P28, "&gt;0"), 1 / COUNT('regrets 4'!$L28:$P28))</f>
        <v>0.5</v>
      </c>
      <c r="N28" s="62"/>
      <c r="O28" s="62"/>
      <c r="P28" s="81"/>
      <c r="Q28" s="60">
        <f>IF(SUMIF('regrets 4'!$Q28:$U28, "&gt;0") &gt; 0, MAX('regrets 4'!Q28, 0) / SUMIF('regrets 4'!$Q28:$U28, "&gt;0"), 1 / COUNT('regrets 4'!$Q28:$U28))</f>
        <v>0.5</v>
      </c>
      <c r="R28" s="60">
        <f>IF(SUMIF('regrets 4'!$Q28:$U28, "&gt;0") &gt; 0, MAX('regrets 4'!R28, 0) / SUMIF('regrets 4'!$Q28:$U28, "&gt;0"), 1 / COUNT('regrets 4'!$Q28:$U28))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IF(SUMIF('regrets 4'!$B29:$F29, "&gt;0") &gt; 0, MAX('regrets 4'!C29, 0) / SUMIF('regrets 4'!$B29:$F29, "&gt;0"), 1 / COUNT('regrets 4'!$B29:$F29))</f>
        <v>0.5</v>
      </c>
      <c r="D29" s="61">
        <f>IF(SUMIF('regrets 4'!$B29:$F29, "&gt;0") &gt; 0, MAX('regrets 4'!D29, 0) / SUMIF('regrets 4'!$B29:$F29, "&gt;0"), 1 / COUNT('regrets 4'!$B29:$F29))</f>
        <v>0.5</v>
      </c>
      <c r="E29" s="62"/>
      <c r="F29" s="90"/>
      <c r="G29" s="60"/>
      <c r="H29" s="60">
        <f>IF(SUMIF('regrets 4'!$G29:$K29, "&gt;0") &gt; 0, MAX('regrets 4'!H29, 0) / SUMIF('regrets 4'!$G29:$K29, "&gt;0"), 1 / COUNT('regrets 4'!$G29:$K29))</f>
        <v>0.5</v>
      </c>
      <c r="I29" s="60">
        <f>IF(SUMIF('regrets 4'!$G29:$K29, "&gt;0") &gt; 0, MAX('regrets 4'!I29, 0) / SUMIF('regrets 4'!$G29:$K29, "&gt;0"), 1 / COUNT('regrets 4'!$G29:$K29))</f>
        <v>0.5</v>
      </c>
      <c r="J29" s="62"/>
      <c r="K29" s="90"/>
      <c r="L29" s="66"/>
      <c r="M29" s="60">
        <f>IF(SUMIF('regrets 4'!$L29:$P29, "&gt;0") &gt; 0, MAX('regrets 4'!M29, 0) / SUMIF('regrets 4'!$L29:$P29, "&gt;0"), 1 / COUNT('regrets 4'!$L29:$P29))</f>
        <v>0.5</v>
      </c>
      <c r="N29" s="60">
        <f>IF(SUMIF('regrets 4'!$L29:$P29, "&gt;0") &gt; 0, MAX('regrets 4'!N29, 0) / SUMIF('regrets 4'!$L29:$P29, "&gt;0"), 1 / COUNT('regrets 4'!$L29:$P29))</f>
        <v>0.5</v>
      </c>
      <c r="O29" s="62"/>
      <c r="P29" s="81"/>
      <c r="Q29" s="60"/>
      <c r="R29" s="60">
        <f>IF(SUMIF('regrets 4'!$Q29:$U29, "&gt;0") &gt; 0, MAX('regrets 4'!R29, 0) / SUMIF('regrets 4'!$Q29:$U29, "&gt;0"), 1 / COUNT('regrets 4'!$Q29:$U29))</f>
        <v>0.5</v>
      </c>
      <c r="S29" s="60">
        <f>IF(SUMIF('regrets 4'!$Q29:$U29, "&gt;0") &gt; 0, MAX('regrets 4'!S29, 0) / SUMIF('regrets 4'!$Q29:$U29, "&gt;0"), 1 / COUNT('regrets 4'!$Q29:$U29))</f>
        <v>0.5</v>
      </c>
      <c r="T29" s="62"/>
      <c r="U29" s="90"/>
    </row>
    <row r="30" spans="1:21" ht="20" customHeight="1" x14ac:dyDescent="0.15">
      <c r="A30" s="12">
        <v>9</v>
      </c>
      <c r="B30" s="61">
        <f>IF(SUMIF('regrets 4'!$B30:$F30, "&gt;0") &gt; 0, MAX('regrets 4'!B30, 0) / SUMIF('regrets 4'!$B30:$F30, "&gt;0"), 1 / COUNT('regrets 4'!$B30:$F30))</f>
        <v>0.5</v>
      </c>
      <c r="C30" s="61">
        <f>IF(SUMIF('regrets 4'!$B30:$F30, "&gt;0") &gt; 0, MAX('regrets 4'!C30, 0) / SUMIF('regrets 4'!$B30:$F30, "&gt;0"), 1 / COUNT('regrets 4'!$B30:$F30))</f>
        <v>0.5</v>
      </c>
      <c r="D30" s="61"/>
      <c r="E30" s="62"/>
      <c r="F30" s="90"/>
      <c r="G30" s="60">
        <f>IF(SUMIF('regrets 4'!$G30:$K30, "&gt;0") &gt; 0, MAX('regrets 4'!G30, 0) / SUMIF('regrets 4'!$G30:$K30, "&gt;0"), 1 / COUNT('regrets 4'!$G30:$K30))</f>
        <v>0.5</v>
      </c>
      <c r="H30" s="60">
        <f>IF(SUMIF('regrets 4'!$G30:$K30, "&gt;0") &gt; 0, MAX('regrets 4'!H30, 0) / SUMIF('regrets 4'!$G30:$K30, "&gt;0"), 1 / COUNT('regrets 4'!$G30:$K30))</f>
        <v>0.5</v>
      </c>
      <c r="I30" s="61"/>
      <c r="J30" s="62"/>
      <c r="K30" s="90"/>
      <c r="L30" s="60">
        <f>IF(SUMIF('regrets 4'!$L30:$P30, "&gt;0") &gt; 0, MAX('regrets 4'!L30, 0) / SUMIF('regrets 4'!$L30:$P30, "&gt;0"), 1 / COUNT('regrets 4'!$L30:$P30))</f>
        <v>0.5</v>
      </c>
      <c r="M30" s="60">
        <f>IF(SUMIF('regrets 4'!$L30:$P30, "&gt;0") &gt; 0, MAX('regrets 4'!M30, 0) / SUMIF('regrets 4'!$L30:$P30, "&gt;0"), 1 / COUNT('regrets 4'!$L30:$P30))</f>
        <v>0.5</v>
      </c>
      <c r="N30" s="62"/>
      <c r="O30" s="62"/>
      <c r="P30" s="81"/>
      <c r="Q30" s="60">
        <f>IF(SUMIF('regrets 4'!$Q30:$U30, "&gt;0") &gt; 0, MAX('regrets 4'!Q30, 0) / SUMIF('regrets 4'!$Q30:$U30, "&gt;0"), 1 / COUNT('regrets 4'!$Q30:$U30))</f>
        <v>0.5</v>
      </c>
      <c r="R30" s="60">
        <f>IF(SUMIF('regrets 4'!$Q30:$U30, "&gt;0") &gt; 0, MAX('regrets 4'!R30, 0) / SUMIF('regrets 4'!$Q30:$U30, "&gt;0"), 1 / COUNT('regrets 4'!$Q30:$U30))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IF(SUMIF('regrets 4'!$B31:$F31, "&gt;0") &gt; 0, MAX('regrets 4'!B31, 0) / SUMIF('regrets 4'!$B31:$F31, "&gt;0"), 1 / COUNT('regrets 4'!$B31:$F31))</f>
        <v>0.5</v>
      </c>
      <c r="C31" s="61">
        <f>IF(SUMIF('regrets 4'!$B31:$F31, "&gt;0") &gt; 0, MAX('regrets 4'!C31, 0) / SUMIF('regrets 4'!$B31:$F31, "&gt;0"), 1 / COUNT('regrets 4'!$B31:$F31))</f>
        <v>0.5</v>
      </c>
      <c r="D31" s="61"/>
      <c r="E31" s="62"/>
      <c r="F31" s="90"/>
      <c r="G31" s="60">
        <f>IF(SUMIF('regrets 4'!$G31:$K31, "&gt;0") &gt; 0, MAX('regrets 4'!G31, 0) / SUMIF('regrets 4'!$G31:$K31, "&gt;0"), 1 / COUNT('regrets 4'!$G31:$K31))</f>
        <v>0.5</v>
      </c>
      <c r="H31" s="60">
        <f>IF(SUMIF('regrets 4'!$G31:$K31, "&gt;0") &gt; 0, MAX('regrets 4'!H31, 0) / SUMIF('regrets 4'!$G31:$K31, "&gt;0"), 1 / COUNT('regrets 4'!$G31:$K31))</f>
        <v>0.5</v>
      </c>
      <c r="I31" s="61"/>
      <c r="J31" s="62"/>
      <c r="K31" s="90"/>
      <c r="L31" s="60">
        <f>IF(SUMIF('regrets 4'!$L31:$P31, "&gt;0") &gt; 0, MAX('regrets 4'!L31, 0) / SUMIF('regrets 4'!$L31:$P31, "&gt;0"), 1 / COUNT('regrets 4'!$L31:$P31))</f>
        <v>0.5</v>
      </c>
      <c r="M31" s="60">
        <f>IF(SUMIF('regrets 4'!$L31:$P31, "&gt;0") &gt; 0, MAX('regrets 4'!M31, 0) / SUMIF('regrets 4'!$L31:$P31, "&gt;0"), 1 / COUNT('regrets 4'!$L31:$P31))</f>
        <v>0.5</v>
      </c>
      <c r="N31" s="62"/>
      <c r="O31" s="62"/>
      <c r="P31" s="81"/>
      <c r="Q31" s="60">
        <f>IF(SUMIF('regrets 4'!$Q31:$U31, "&gt;0") &gt; 0, MAX('regrets 4'!Q31, 0) / SUMIF('regrets 4'!$Q31:$U31, "&gt;0"), 1 / COUNT('regrets 4'!$Q31:$U31))</f>
        <v>0.5</v>
      </c>
      <c r="R31" s="60">
        <f>IF(SUMIF('regrets 4'!$Q31:$U31, "&gt;0") &gt; 0, MAX('regrets 4'!R31, 0) / SUMIF('regrets 4'!$Q31:$U31, "&gt;0"), 1 / COUNT('regrets 4'!$Q31:$U31))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IF(SUMIF('regrets 4'!$B32:$F32, "&gt;0") &gt; 0, MAX('regrets 4'!B32, 0) / SUMIF('regrets 4'!$B32:$F32, "&gt;0"), 1 / COUNT('regrets 4'!$B32:$F32))</f>
        <v>0.5</v>
      </c>
      <c r="C32" s="61">
        <f>IF(SUMIF('regrets 4'!$B32:$F32, "&gt;0") &gt; 0, MAX('regrets 4'!C32, 0) / SUMIF('regrets 4'!$B32:$F32, "&gt;0"), 1 / COUNT('regrets 4'!$B32:$F32))</f>
        <v>0.5</v>
      </c>
      <c r="D32" s="61"/>
      <c r="E32" s="62"/>
      <c r="F32" s="90"/>
      <c r="G32" s="60">
        <f>IF(SUMIF('regrets 4'!$G32:$K32, "&gt;0") &gt; 0, MAX('regrets 4'!G32, 0) / SUMIF('regrets 4'!$G32:$K32, "&gt;0"), 1 / COUNT('regrets 4'!$G32:$K32))</f>
        <v>0.5</v>
      </c>
      <c r="H32" s="60">
        <f>IF(SUMIF('regrets 4'!$G32:$K32, "&gt;0") &gt; 0, MAX('regrets 4'!H32, 0) / SUMIF('regrets 4'!$G32:$K32, "&gt;0"), 1 / COUNT('regrets 4'!$G32:$K32))</f>
        <v>0.5</v>
      </c>
      <c r="I32" s="61"/>
      <c r="J32" s="62"/>
      <c r="K32" s="90"/>
      <c r="L32" s="60">
        <f>IF(SUMIF('regrets 4'!$L32:$P32, "&gt;0") &gt; 0, MAX('regrets 4'!L32, 0) / SUMIF('regrets 4'!$L32:$P32, "&gt;0"), 1 / COUNT('regrets 4'!$L32:$P32))</f>
        <v>0.5</v>
      </c>
      <c r="M32" s="60">
        <f>IF(SUMIF('regrets 4'!$L32:$P32, "&gt;0") &gt; 0, MAX('regrets 4'!M32, 0) / SUMIF('regrets 4'!$L32:$P32, "&gt;0"), 1 / COUNT('regrets 4'!$L32:$P32))</f>
        <v>0.5</v>
      </c>
      <c r="N32" s="62"/>
      <c r="O32" s="62"/>
      <c r="P32" s="81"/>
      <c r="Q32" s="60">
        <f>IF(SUMIF('regrets 4'!$Q32:$U32, "&gt;0") &gt; 0, MAX('regrets 4'!Q32, 0) / SUMIF('regrets 4'!$Q32:$U32, "&gt;0"), 1 / COUNT('regrets 4'!$Q32:$U32))</f>
        <v>0.5</v>
      </c>
      <c r="R32" s="60">
        <f>IF(SUMIF('regrets 4'!$Q32:$U32, "&gt;0") &gt; 0, MAX('regrets 4'!R32, 0) / SUMIF('regrets 4'!$Q32:$U32, "&gt;0"), 1 / COUNT('regrets 4'!$Q32:$U32))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IF(SUMIF('regrets 4'!$B33:$F33, "&gt;0") &gt; 0, MAX('regrets 4'!C33, 0) / SUMIF('regrets 4'!$B33:$F33, "&gt;0"), 1 / COUNT('regrets 4'!$B33:$F33))</f>
        <v>0.5</v>
      </c>
      <c r="D33" s="61">
        <f>IF(SUMIF('regrets 4'!$B33:$F33, "&gt;0") &gt; 0, MAX('regrets 4'!D33, 0) / SUMIF('regrets 4'!$B33:$F33, "&gt;0"), 1 / COUNT('regrets 4'!$B33:$F33))</f>
        <v>0.5</v>
      </c>
      <c r="E33" s="62"/>
      <c r="F33" s="90"/>
      <c r="G33" s="60"/>
      <c r="H33" s="60">
        <f>IF(SUMIF('regrets 4'!$G33:$K33, "&gt;0") &gt; 0, MAX('regrets 4'!H33, 0) / SUMIF('regrets 4'!$G33:$K33, "&gt;0"), 1 / COUNT('regrets 4'!$G33:$K33))</f>
        <v>0.5</v>
      </c>
      <c r="I33" s="60">
        <f>IF(SUMIF('regrets 4'!$G33:$K33, "&gt;0") &gt; 0, MAX('regrets 4'!I33, 0) / SUMIF('regrets 4'!$G33:$K33, "&gt;0"), 1 / COUNT('regrets 4'!$G33:$K33))</f>
        <v>0.5</v>
      </c>
      <c r="J33" s="62"/>
      <c r="K33" s="90"/>
      <c r="L33" s="66"/>
      <c r="M33" s="60">
        <f>IF(SUMIF('regrets 4'!$L33:$P33, "&gt;0") &gt; 0, MAX('regrets 4'!M33, 0) / SUMIF('regrets 4'!$L33:$P33, "&gt;0"), 1 / COUNT('regrets 4'!$L33:$P33))</f>
        <v>0.5</v>
      </c>
      <c r="N33" s="60">
        <f>IF(SUMIF('regrets 4'!$L33:$P33, "&gt;0") &gt; 0, MAX('regrets 4'!N33, 0) / SUMIF('regrets 4'!$L33:$P33, "&gt;0"), 1 / COUNT('regrets 4'!$L33:$P33))</f>
        <v>0.5</v>
      </c>
      <c r="O33" s="62"/>
      <c r="P33" s="81"/>
      <c r="Q33" s="60"/>
      <c r="R33" s="60">
        <f>IF(SUMIF('regrets 4'!$Q33:$U33, "&gt;0") &gt; 0, MAX('regrets 4'!R33, 0) / SUMIF('regrets 4'!$Q33:$U33, "&gt;0"), 1 / COUNT('regrets 4'!$Q33:$U33))</f>
        <v>0.5</v>
      </c>
      <c r="S33" s="60">
        <f>IF(SUMIF('regrets 4'!$Q33:$U33, "&gt;0") &gt; 0, MAX('regrets 4'!S33, 0) / SUMIF('regrets 4'!$Q33:$U33, "&gt;0"), 1 / COUNT('regrets 4'!$Q33:$U33))</f>
        <v>0.5</v>
      </c>
      <c r="T33" s="62"/>
      <c r="U33" s="90"/>
    </row>
    <row r="34" spans="1:21" ht="20" customHeight="1" x14ac:dyDescent="0.15">
      <c r="A34" s="12">
        <v>13</v>
      </c>
      <c r="B34" s="61">
        <f>IF(SUMIF('regrets 4'!$B34:$F34, "&gt;0") &gt; 0, MAX('regrets 4'!B34, 0) / SUMIF('regrets 4'!$B34:$F34, "&gt;0"), 1 / COUNT('regrets 4'!$B34:$F34))</f>
        <v>0.5</v>
      </c>
      <c r="C34" s="61">
        <f>IF(SUMIF('regrets 4'!$B34:$F34, "&gt;0") &gt; 0, MAX('regrets 4'!C34, 0) / SUMIF('regrets 4'!$B34:$F34, "&gt;0"), 1 / COUNT('regrets 4'!$B34:$F34))</f>
        <v>0.5</v>
      </c>
      <c r="D34" s="61"/>
      <c r="E34" s="62"/>
      <c r="F34" s="90"/>
      <c r="G34" s="60">
        <f>IF(SUMIF('regrets 4'!$G34:$K34, "&gt;0") &gt; 0, MAX('regrets 4'!G34, 0) / SUMIF('regrets 4'!$G34:$K34, "&gt;0"), 1 / COUNT('regrets 4'!$G34:$K34))</f>
        <v>0.5</v>
      </c>
      <c r="H34" s="60">
        <f>IF(SUMIF('regrets 4'!$G34:$K34, "&gt;0") &gt; 0, MAX('regrets 4'!H34, 0) / SUMIF('regrets 4'!$G34:$K34, "&gt;0"), 1 / COUNT('regrets 4'!$G34:$K34))</f>
        <v>0.5</v>
      </c>
      <c r="I34" s="61"/>
      <c r="J34" s="62"/>
      <c r="K34" s="90"/>
      <c r="L34" s="60">
        <f>IF(SUMIF('regrets 4'!$L34:$P34, "&gt;0") &gt; 0, MAX('regrets 4'!L34, 0) / SUMIF('regrets 4'!$L34:$P34, "&gt;0"), 1 / COUNT('regrets 4'!$L34:$P34))</f>
        <v>0.5</v>
      </c>
      <c r="M34" s="60">
        <f>IF(SUMIF('regrets 4'!$L34:$P34, "&gt;0") &gt; 0, MAX('regrets 4'!M34, 0) / SUMIF('regrets 4'!$L34:$P34, "&gt;0"), 1 / COUNT('regrets 4'!$L34:$P34))</f>
        <v>0.5</v>
      </c>
      <c r="N34" s="62"/>
      <c r="O34" s="62"/>
      <c r="P34" s="81"/>
      <c r="Q34" s="60">
        <f>IF(SUMIF('regrets 4'!$Q34:$U34, "&gt;0") &gt; 0, MAX('regrets 4'!Q34, 0) / SUMIF('regrets 4'!$Q34:$U34, "&gt;0"), 1 / COUNT('regrets 4'!$Q34:$U34))</f>
        <v>0.5</v>
      </c>
      <c r="R34" s="60">
        <f>IF(SUMIF('regrets 4'!$Q34:$U34, "&gt;0") &gt; 0, MAX('regrets 4'!R34, 0) / SUMIF('regrets 4'!$Q34:$U34, "&gt;0"), 1 / COUNT('regrets 4'!$Q34:$U34))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IF(SUMIF('regrets 4'!$B35:$F35, "&gt;0") &gt; 0, MAX('regrets 4'!B35, 0) / SUMIF('regrets 4'!$B35:$F35, "&gt;0"), 1 / COUNT('regrets 4'!$B35:$F35))</f>
        <v>0.5</v>
      </c>
      <c r="C35" s="61">
        <f>IF(SUMIF('regrets 4'!$B35:$F35, "&gt;0") &gt; 0, MAX('regrets 4'!C35, 0) / SUMIF('regrets 4'!$B35:$F35, "&gt;0"), 1 / COUNT('regrets 4'!$B35:$F35))</f>
        <v>0.5</v>
      </c>
      <c r="D35" s="61"/>
      <c r="E35" s="62"/>
      <c r="F35" s="90"/>
      <c r="G35" s="60">
        <f>IF(SUMIF('regrets 4'!$G35:$K35, "&gt;0") &gt; 0, MAX('regrets 4'!G35, 0) / SUMIF('regrets 4'!$G35:$K35, "&gt;0"), 1 / COUNT('regrets 4'!$G35:$K35))</f>
        <v>0.5</v>
      </c>
      <c r="H35" s="60">
        <f>IF(SUMIF('regrets 4'!$G35:$K35, "&gt;0") &gt; 0, MAX('regrets 4'!H35, 0) / SUMIF('regrets 4'!$G35:$K35, "&gt;0"), 1 / COUNT('regrets 4'!$G35:$K35))</f>
        <v>0.5</v>
      </c>
      <c r="I35" s="61"/>
      <c r="J35" s="62"/>
      <c r="K35" s="90"/>
      <c r="L35" s="60">
        <f>IF(SUMIF('regrets 4'!$L35:$P35, "&gt;0") &gt; 0, MAX('regrets 4'!L35, 0) / SUMIF('regrets 4'!$L35:$P35, "&gt;0"), 1 / COUNT('regrets 4'!$L35:$P35))</f>
        <v>0.5</v>
      </c>
      <c r="M35" s="60">
        <f>IF(SUMIF('regrets 4'!$L35:$P35, "&gt;0") &gt; 0, MAX('regrets 4'!M35, 0) / SUMIF('regrets 4'!$L35:$P35, "&gt;0"), 1 / COUNT('regrets 4'!$L35:$P35))</f>
        <v>0.5</v>
      </c>
      <c r="N35" s="62"/>
      <c r="O35" s="62"/>
      <c r="P35" s="81"/>
      <c r="Q35" s="60">
        <f>IF(SUMIF('regrets 4'!$Q35:$U35, "&gt;0") &gt; 0, MAX('regrets 4'!Q35, 0) / SUMIF('regrets 4'!$Q35:$U35, "&gt;0"), 1 / COUNT('regrets 4'!$Q35:$U35))</f>
        <v>0.5</v>
      </c>
      <c r="R35" s="60">
        <f>IF(SUMIF('regrets 4'!$Q35:$U35, "&gt;0") &gt; 0, MAX('regrets 4'!R35, 0) / SUMIF('regrets 4'!$Q35:$U35, "&gt;0"), 1 / COUNT('regrets 4'!$Q35:$U35))</f>
        <v>0.5</v>
      </c>
      <c r="S35" s="61"/>
      <c r="T35" s="62"/>
      <c r="U35" s="90"/>
    </row>
    <row r="36" spans="1:21" ht="20" customHeight="1" x14ac:dyDescent="0.15">
      <c r="A36" s="12">
        <v>15</v>
      </c>
      <c r="B36" s="61">
        <f>IF(SUMIF('regrets 4'!$B36:$F36, "&gt;0") &gt; 0, MAX('regrets 4'!B36, 0) / SUMIF('regrets 4'!$B36:$F36, "&gt;0"), 1 / COUNT('regrets 4'!$B36:$F36))</f>
        <v>0.5</v>
      </c>
      <c r="C36" s="61">
        <f>IF(SUMIF('regrets 4'!$B36:$F36, "&gt;0") &gt; 0, MAX('regrets 4'!C36, 0) / SUMIF('regrets 4'!$B36:$F36, "&gt;0"), 1 / COUNT('regrets 4'!$B36:$F36))</f>
        <v>0.5</v>
      </c>
      <c r="D36" s="61"/>
      <c r="E36" s="62"/>
      <c r="F36" s="90"/>
      <c r="G36" s="60">
        <f>IF(SUMIF('regrets 4'!$G36:$K36, "&gt;0") &gt; 0, MAX('regrets 4'!G36, 0) / SUMIF('regrets 4'!$G36:$K36, "&gt;0"), 1 / COUNT('regrets 4'!$G36:$K36))</f>
        <v>0.5</v>
      </c>
      <c r="H36" s="60">
        <f>IF(SUMIF('regrets 4'!$G36:$K36, "&gt;0") &gt; 0, MAX('regrets 4'!H36, 0) / SUMIF('regrets 4'!$G36:$K36, "&gt;0"), 1 / COUNT('regrets 4'!$G36:$K36))</f>
        <v>0.5</v>
      </c>
      <c r="I36" s="61"/>
      <c r="J36" s="62"/>
      <c r="K36" s="90"/>
      <c r="L36" s="60">
        <f>IF(SUMIF('regrets 4'!$L36:$P36, "&gt;0") &gt; 0, MAX('regrets 4'!L36, 0) / SUMIF('regrets 4'!$L36:$P36, "&gt;0"), 1 / COUNT('regrets 4'!$L36:$P36))</f>
        <v>0.5</v>
      </c>
      <c r="M36" s="60">
        <f>IF(SUMIF('regrets 4'!$L36:$P36, "&gt;0") &gt; 0, MAX('regrets 4'!M36, 0) / SUMIF('regrets 4'!$L36:$P36, "&gt;0"), 1 / COUNT('regrets 4'!$L36:$P36))</f>
        <v>0.5</v>
      </c>
      <c r="N36" s="62"/>
      <c r="O36" s="62"/>
      <c r="P36" s="81"/>
      <c r="Q36" s="60">
        <f>IF(SUMIF('regrets 4'!$Q36:$U36, "&gt;0") &gt; 0, MAX('regrets 4'!Q36, 0) / SUMIF('regrets 4'!$Q36:$U36, "&gt;0"), 1 / COUNT('regrets 4'!$Q36:$U36))</f>
        <v>0.5</v>
      </c>
      <c r="R36" s="60">
        <f>IF(SUMIF('regrets 4'!$Q36:$U36, "&gt;0") &gt; 0, MAX('regrets 4'!R36, 0) / SUMIF('regrets 4'!$Q36:$U36, "&gt;0"), 1 / COUNT('regrets 4'!$Q36:$U36))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IF(SUMIF('regrets 4'!$B37:$F37, "&gt;0") &gt; 0, MAX('regrets 4'!C37, 0) / SUMIF('regrets 4'!$B37:$F37, "&gt;0"), 1 / COUNT('regrets 4'!$B37:$F37))</f>
        <v>0.5</v>
      </c>
      <c r="D37" s="61">
        <f>IF(SUMIF('regrets 4'!$B37:$F37, "&gt;0") &gt; 0, MAX('regrets 4'!D37, 0) / SUMIF('regrets 4'!$B37:$F37, "&gt;0"), 1 / COUNT('regrets 4'!$B37:$F37))</f>
        <v>0.5</v>
      </c>
      <c r="E37" s="62"/>
      <c r="F37" s="90"/>
      <c r="G37" s="60"/>
      <c r="H37" s="60">
        <f>IF(SUMIF('regrets 4'!$G37:$K37, "&gt;0") &gt; 0, MAX('regrets 4'!H37, 0) / SUMIF('regrets 4'!$G37:$K37, "&gt;0"), 1 / COUNT('regrets 4'!$G37:$K37))</f>
        <v>0.5</v>
      </c>
      <c r="I37" s="60">
        <f>IF(SUMIF('regrets 4'!$G37:$K37, "&gt;0") &gt; 0, MAX('regrets 4'!I37, 0) / SUMIF('regrets 4'!$G37:$K37, "&gt;0"), 1 / COUNT('regrets 4'!$G37:$K37))</f>
        <v>0.5</v>
      </c>
      <c r="J37" s="62"/>
      <c r="K37" s="90"/>
      <c r="L37" s="66"/>
      <c r="M37" s="60">
        <f>IF(SUMIF('regrets 4'!$L37:$P37, "&gt;0") &gt; 0, MAX('regrets 4'!M37, 0) / SUMIF('regrets 4'!$L37:$P37, "&gt;0"), 1 / COUNT('regrets 4'!$L37:$P37))</f>
        <v>0.5</v>
      </c>
      <c r="N37" s="60">
        <f>IF(SUMIF('regrets 4'!$L37:$P37, "&gt;0") &gt; 0, MAX('regrets 4'!N37, 0) / SUMIF('regrets 4'!$L37:$P37, "&gt;0"), 1 / COUNT('regrets 4'!$L37:$P37))</f>
        <v>0.5</v>
      </c>
      <c r="O37" s="62"/>
      <c r="P37" s="81"/>
      <c r="Q37" s="60"/>
      <c r="R37" s="60">
        <f>IF(SUMIF('regrets 4'!$Q37:$U37, "&gt;0") &gt; 0, MAX('regrets 4'!R37, 0) / SUMIF('regrets 4'!$Q37:$U37, "&gt;0"), 1 / COUNT('regrets 4'!$Q37:$U37))</f>
        <v>0.5</v>
      </c>
      <c r="S37" s="60">
        <f>IF(SUMIF('regrets 4'!$Q37:$U37, "&gt;0") &gt; 0, MAX('regrets 4'!S37, 0) / SUMIF('regrets 4'!$Q37:$U37, "&gt;0"), 1 / COUNT('regrets 4'!$Q37:$U37))</f>
        <v>0.5</v>
      </c>
      <c r="T37" s="62"/>
      <c r="U37" s="90"/>
    </row>
    <row r="38" spans="1:21" ht="20" customHeight="1" x14ac:dyDescent="0.15">
      <c r="A38" s="12">
        <v>17</v>
      </c>
      <c r="B38" s="61">
        <f>IF(SUMIF('regrets 4'!$B38:$F38, "&gt;0") &gt; 0, MAX('regrets 4'!B38, 0) / SUMIF('regrets 4'!$B38:$F38, "&gt;0"), 1 / COUNT('regrets 4'!$B38:$F38))</f>
        <v>0.5</v>
      </c>
      <c r="C38" s="61">
        <f>IF(SUMIF('regrets 4'!$B38:$F38, "&gt;0") &gt; 0, MAX('regrets 4'!C38, 0) / SUMIF('regrets 4'!$B38:$F38, "&gt;0"), 1 / COUNT('regrets 4'!$B38:$F38))</f>
        <v>0.5</v>
      </c>
      <c r="D38" s="61"/>
      <c r="E38" s="62"/>
      <c r="F38" s="90"/>
      <c r="G38" s="60">
        <f>IF(SUMIF('regrets 4'!$G38:$K38, "&gt;0") &gt; 0, MAX('regrets 4'!G38, 0) / SUMIF('regrets 4'!$G38:$K38, "&gt;0"), 1 / COUNT('regrets 4'!$G38:$K38))</f>
        <v>0.5</v>
      </c>
      <c r="H38" s="60">
        <f>IF(SUMIF('regrets 4'!$G38:$K38, "&gt;0") &gt; 0, MAX('regrets 4'!H38, 0) / SUMIF('regrets 4'!$G38:$K38, "&gt;0"), 1 / COUNT('regrets 4'!$G38:$K38))</f>
        <v>0.5</v>
      </c>
      <c r="I38" s="61"/>
      <c r="J38" s="62"/>
      <c r="K38" s="90"/>
      <c r="L38" s="60">
        <f>IF(SUMIF('regrets 4'!$L38:$P38, "&gt;0") &gt; 0, MAX('regrets 4'!L38, 0) / SUMIF('regrets 4'!$L38:$P38, "&gt;0"), 1 / COUNT('regrets 4'!$L38:$P38))</f>
        <v>0.5</v>
      </c>
      <c r="M38" s="60">
        <f>IF(SUMIF('regrets 4'!$L38:$P38, "&gt;0") &gt; 0, MAX('regrets 4'!M38, 0) / SUMIF('regrets 4'!$L38:$P38, "&gt;0"), 1 / COUNT('regrets 4'!$L38:$P38))</f>
        <v>0.5</v>
      </c>
      <c r="N38" s="62"/>
      <c r="O38" s="62"/>
      <c r="P38" s="81"/>
      <c r="Q38" s="60">
        <f>IF(SUMIF('regrets 4'!$Q38:$U38, "&gt;0") &gt; 0, MAX('regrets 4'!Q38, 0) / SUMIF('regrets 4'!$Q38:$U38, "&gt;0"), 1 / COUNT('regrets 4'!$Q38:$U38))</f>
        <v>0.5</v>
      </c>
      <c r="R38" s="60">
        <f>IF(SUMIF('regrets 4'!$Q38:$U38, "&gt;0") &gt; 0, MAX('regrets 4'!R38, 0) / SUMIF('regrets 4'!$Q38:$U38, "&gt;0"), 1 / COUNT('regrets 4'!$Q38:$U38))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IF(SUMIF('regrets 4'!$B39:$F39, "&gt;0") &gt; 0, MAX('regrets 4'!B39, 0) / SUMIF('regrets 4'!$B39:$F39, "&gt;0"), 1 / COUNT('regrets 4'!$B39:$F39))</f>
        <v>0.5</v>
      </c>
      <c r="C39" s="61">
        <f>IF(SUMIF('regrets 4'!$B39:$F39, "&gt;0") &gt; 0, MAX('regrets 4'!C39, 0) / SUMIF('regrets 4'!$B39:$F39, "&gt;0"), 1 / COUNT('regrets 4'!$B39:$F39))</f>
        <v>0.5</v>
      </c>
      <c r="D39" s="61"/>
      <c r="E39" s="62"/>
      <c r="F39" s="90"/>
      <c r="G39" s="60">
        <f>IF(SUMIF('regrets 4'!$G39:$K39, "&gt;0") &gt; 0, MAX('regrets 4'!G39, 0) / SUMIF('regrets 4'!$G39:$K39, "&gt;0"), 1 / COUNT('regrets 4'!$G39:$K39))</f>
        <v>0.5</v>
      </c>
      <c r="H39" s="60">
        <f>IF(SUMIF('regrets 4'!$G39:$K39, "&gt;0") &gt; 0, MAX('regrets 4'!H39, 0) / SUMIF('regrets 4'!$G39:$K39, "&gt;0"), 1 / COUNT('regrets 4'!$G39:$K39))</f>
        <v>0.5</v>
      </c>
      <c r="I39" s="61"/>
      <c r="J39" s="62"/>
      <c r="K39" s="90"/>
      <c r="L39" s="60">
        <f>IF(SUMIF('regrets 4'!$L39:$P39, "&gt;0") &gt; 0, MAX('regrets 4'!L39, 0) / SUMIF('regrets 4'!$L39:$P39, "&gt;0"), 1 / COUNT('regrets 4'!$L39:$P39))</f>
        <v>0.5</v>
      </c>
      <c r="M39" s="60">
        <f>IF(SUMIF('regrets 4'!$L39:$P39, "&gt;0") &gt; 0, MAX('regrets 4'!M39, 0) / SUMIF('regrets 4'!$L39:$P39, "&gt;0"), 1 / COUNT('regrets 4'!$L39:$P39))</f>
        <v>0.5</v>
      </c>
      <c r="N39" s="62"/>
      <c r="O39" s="62"/>
      <c r="P39" s="81"/>
      <c r="Q39" s="60">
        <f>IF(SUMIF('regrets 4'!$Q39:$U39, "&gt;0") &gt; 0, MAX('regrets 4'!Q39, 0) / SUMIF('regrets 4'!$Q39:$U39, "&gt;0"), 1 / COUNT('regrets 4'!$Q39:$U39))</f>
        <v>0.5</v>
      </c>
      <c r="R39" s="60">
        <f>IF(SUMIF('regrets 4'!$Q39:$U39, "&gt;0") &gt; 0, MAX('regrets 4'!R39, 0) / SUMIF('regrets 4'!$Q39:$U39, "&gt;0"), 1 / COUNT('regrets 4'!$Q39:$U39))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IF(SUMIF('regrets 4'!$B40:$F40, "&gt;0") &gt; 0, MAX('regrets 4'!B40, 0) / SUMIF('regrets 4'!$B40:$F40, "&gt;0"), 1 / COUNT('regrets 4'!$B40:$F40))</f>
        <v>0.5</v>
      </c>
      <c r="C40" s="61">
        <f>IF(SUMIF('regrets 4'!$B40:$F40, "&gt;0") &gt; 0, MAX('regrets 4'!C40, 0) / SUMIF('regrets 4'!$B40:$F40, "&gt;0"), 1 / COUNT('regrets 4'!$B40:$F40))</f>
        <v>0.5</v>
      </c>
      <c r="D40" s="83"/>
      <c r="E40" s="75"/>
      <c r="F40" s="94"/>
      <c r="G40" s="60">
        <f>IF(SUMIF('regrets 4'!$G40:$K40, "&gt;0") &gt; 0, MAX('regrets 4'!G40, 0) / SUMIF('regrets 4'!$G40:$K40, "&gt;0"), 1 / COUNT('regrets 4'!$G40:$K40))</f>
        <v>0.5</v>
      </c>
      <c r="H40" s="60">
        <f>IF(SUMIF('regrets 4'!$G40:$K40, "&gt;0") &gt; 0, MAX('regrets 4'!H40, 0) / SUMIF('regrets 4'!$G40:$K40, "&gt;0"), 1 / COUNT('regrets 4'!$G40:$K40))</f>
        <v>0.5</v>
      </c>
      <c r="I40" s="83"/>
      <c r="J40" s="75"/>
      <c r="K40" s="94"/>
      <c r="L40" s="60">
        <f>IF(SUMIF('regrets 4'!$L40:$P40, "&gt;0") &gt; 0, MAX('regrets 4'!L40, 0) / SUMIF('regrets 4'!$L40:$P40, "&gt;0"), 1 / COUNT('regrets 4'!$L40:$P40))</f>
        <v>0.5</v>
      </c>
      <c r="M40" s="60">
        <f>IF(SUMIF('regrets 4'!$L40:$P40, "&gt;0") &gt; 0, MAX('regrets 4'!M40, 0) / SUMIF('regrets 4'!$L40:$P40, "&gt;0"), 1 / COUNT('regrets 4'!$L40:$P40))</f>
        <v>0.5</v>
      </c>
      <c r="N40" s="75"/>
      <c r="O40" s="75"/>
      <c r="P40" s="84"/>
      <c r="Q40" s="60">
        <f>IF(SUMIF('regrets 4'!$Q40:$U40, "&gt;0") &gt; 0, MAX('regrets 4'!Q40, 0) / SUMIF('regrets 4'!$Q40:$U40, "&gt;0"), 1 / COUNT('regrets 4'!$Q40:$U40))</f>
        <v>0.5</v>
      </c>
      <c r="R40" s="60">
        <f>IF(SUMIF('regrets 4'!$Q40:$U40, "&gt;0") &gt; 0, MAX('regrets 4'!R40, 0) / SUMIF('regrets 4'!$Q40:$U40, "&gt;0"), 1 / COUNT('regrets 4'!$Q40:$U40))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IF(SUMIF('regrets 4'!$B41:$F41, "&gt;0") &gt; 0, MAX('regrets 4'!C41, 0) / SUMIF('regrets 4'!$B41:$F41, "&gt;0"), 1 / COUNT('regrets 4'!$B41:$F41))</f>
        <v>0.33333333333333331</v>
      </c>
      <c r="D41" s="68">
        <f>IF(SUMIF('regrets 4'!$B41:$F41, "&gt;0") &gt; 0, MAX('regrets 4'!D41, 0) / SUMIF('regrets 4'!$B41:$F41, "&gt;0"), 1 / COUNT('regrets 4'!$B41:$F41))</f>
        <v>0.33333333333333331</v>
      </c>
      <c r="E41" s="68">
        <f>IF(SUMIF('regrets 4'!$B41:$F41, "&gt;0") &gt; 0, MAX('regrets 4'!E41, 0) / SUMIF('regrets 4'!$B41:$F41, "&gt;0"), 1 / COUNT('regrets 4'!$B41:$F41))</f>
        <v>0.33333333333333331</v>
      </c>
      <c r="F41" s="86"/>
      <c r="G41" s="87"/>
      <c r="H41" s="68">
        <f>IF(SUMIF('regrets 4'!$G41:$K41, "&gt;0") &gt; 0, MAX('regrets 4'!H41, 0) / SUMIF('regrets 4'!$G41:$K41, "&gt;0"), 1 / COUNT('regrets 4'!$G41:$K41))</f>
        <v>0.33333333333333331</v>
      </c>
      <c r="I41" s="68">
        <f>IF(SUMIF('regrets 4'!$G41:$K41, "&gt;0") &gt; 0, MAX('regrets 4'!I41, 0) / SUMIF('regrets 4'!$G41:$K41, "&gt;0"), 1 / COUNT('regrets 4'!$G41:$K41))</f>
        <v>0.33333333333333331</v>
      </c>
      <c r="J41" s="68">
        <f>IF(SUMIF('regrets 4'!$G41:$K41, "&gt;0") &gt; 0, MAX('regrets 4'!J41, 0) / SUMIF('regrets 4'!$G41:$K41, "&gt;0"), 1 / COUNT('regrets 4'!$G41:$K41))</f>
        <v>0.33333333333333331</v>
      </c>
      <c r="K41" s="86"/>
      <c r="L41" s="87"/>
      <c r="M41" s="68">
        <f>IF(SUMIF('regrets 4'!$L41:$P41, "&gt;0") &gt; 0, MAX('regrets 4'!M41, 0) / SUMIF('regrets 4'!$L41:$P41, "&gt;0"), 1 / COUNT('regrets 4'!$L41:$P41))</f>
        <v>0.33333333333333331</v>
      </c>
      <c r="N41" s="68">
        <f>IF(SUMIF('regrets 4'!$L41:$P41, "&gt;0") &gt; 0, MAX('regrets 4'!N41, 0) / SUMIF('regrets 4'!$L41:$P41, "&gt;0"), 1 / COUNT('regrets 4'!$L41:$P41))</f>
        <v>0.33333333333333331</v>
      </c>
      <c r="O41" s="68">
        <f>IF(SUMIF('regrets 4'!$L41:$P41, "&gt;0") &gt; 0, MAX('regrets 4'!O41, 0) / SUMIF('regrets 4'!$L41:$P41, "&gt;0"), 1 / COUNT('regrets 4'!$L41:$P41))</f>
        <v>0.33333333333333331</v>
      </c>
      <c r="P41" s="86"/>
      <c r="Q41" s="87"/>
      <c r="R41" s="68">
        <f>IF(SUMIF('regrets 4'!$Q41:$U41, "&gt;0") &gt; 0, MAX('regrets 4'!R41, 0) / SUMIF('regrets 4'!$Q41:$U41, "&gt;0"), 1 / COUNT('regrets 4'!$Q41:$U41))</f>
        <v>0.33333333333333331</v>
      </c>
      <c r="S41" s="68">
        <f>IF(SUMIF('regrets 4'!$Q41:$U41, "&gt;0") &gt; 0, MAX('regrets 4'!S41, 0) / SUMIF('regrets 4'!$Q41:$U41, "&gt;0"), 1 / COUNT('regrets 4'!$Q41:$U41))</f>
        <v>0.33333333333333331</v>
      </c>
      <c r="T41" s="68">
        <f>IF(SUMIF('regrets 4'!$Q41:$U41, "&gt;0") &gt; 0, MAX('regrets 4'!T41, 0) / SUMIF('regrets 4'!$Q41:$U41, "&gt;0"), 1 / COUNT('regrets 4'!$Q41:$U41))</f>
        <v>0.33333333333333331</v>
      </c>
      <c r="U41" s="86"/>
    </row>
    <row r="42" spans="1:21" ht="20" customHeight="1" x14ac:dyDescent="0.15">
      <c r="A42" s="12">
        <v>1</v>
      </c>
      <c r="B42" s="61">
        <f>IF(SUMIF('regrets 4'!$B42:$F42, "&gt;0") &gt; 0, MAX('regrets 4'!B42, 0) / SUMIF('regrets 4'!$B42:$F42, "&gt;0"), 1 / COUNT('regrets 4'!$B42:$F42))</f>
        <v>0.5</v>
      </c>
      <c r="C42" s="61">
        <f>IF(SUMIF('regrets 4'!$B42:$F42, "&gt;0") &gt; 0, MAX('regrets 4'!C42, 0) / SUMIF('regrets 4'!$B42:$F42, "&gt;0"), 1 / COUNT('regrets 4'!$B42:$F42))</f>
        <v>0.5</v>
      </c>
      <c r="D42" s="61"/>
      <c r="E42" s="61"/>
      <c r="F42" s="90"/>
      <c r="G42" s="60">
        <f>IF(SUMIF('regrets 4'!$G42:$K42, "&gt;0") &gt; 0, MAX('regrets 4'!G42, 0) / SUMIF('regrets 4'!$G42:$K42, "&gt;0"), 1 / COUNT('regrets 4'!$G42:$K42))</f>
        <v>0.5</v>
      </c>
      <c r="H42" s="60">
        <f>IF(SUMIF('regrets 4'!$G42:$K42, "&gt;0") &gt; 0, MAX('regrets 4'!H42, 0) / SUMIF('regrets 4'!$G42:$K42, "&gt;0"), 1 / COUNT('regrets 4'!$G42:$K42))</f>
        <v>0.5</v>
      </c>
      <c r="I42" s="61"/>
      <c r="J42" s="61"/>
      <c r="K42" s="90"/>
      <c r="L42" s="60">
        <f>IF(SUMIF('regrets 4'!$L42:$P42, "&gt;0") &gt; 0, MAX('regrets 4'!L42, 0) / SUMIF('regrets 4'!$L42:$P42, "&gt;0"), 1 / COUNT('regrets 4'!$L42:$P42))</f>
        <v>0.5</v>
      </c>
      <c r="M42" s="60">
        <f>IF(SUMIF('regrets 4'!$L42:$P42, "&gt;0") &gt; 0, MAX('regrets 4'!M42, 0) / SUMIF('regrets 4'!$L42:$P42, "&gt;0"), 1 / COUNT('regrets 4'!$L42:$P42))</f>
        <v>0.5</v>
      </c>
      <c r="N42" s="61"/>
      <c r="O42" s="61"/>
      <c r="P42" s="90"/>
      <c r="Q42" s="60">
        <f>IF(SUMIF('regrets 4'!$Q42:$U42, "&gt;0") &gt; 0, MAX('regrets 4'!Q42, 0) / SUMIF('regrets 4'!$Q42:$U42, "&gt;0"), 1 / COUNT('regrets 4'!$Q42:$U42))</f>
        <v>0.5</v>
      </c>
      <c r="R42" s="60">
        <f>IF(SUMIF('regrets 4'!$Q42:$U42, "&gt;0") &gt; 0, MAX('regrets 4'!R42, 0) / SUMIF('regrets 4'!$Q42:$U42, "&gt;0"), 1 / COUNT('regrets 4'!$Q42:$U42))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IF(SUMIF('regrets 4'!$B43:$F43, "&gt;0") &gt; 0, MAX('regrets 4'!C43, 0) / SUMIF('regrets 4'!$B43:$F43, "&gt;0"), 1 / COUNT('regrets 4'!$B43:$F43))</f>
        <v>0.33333333333333331</v>
      </c>
      <c r="D43" s="61">
        <f>IF(SUMIF('regrets 4'!$B43:$F43, "&gt;0") &gt; 0, MAX('regrets 4'!D43, 0) / SUMIF('regrets 4'!$B43:$F43, "&gt;0"), 1 / COUNT('regrets 4'!$B43:$F43))</f>
        <v>0.33333333333333331</v>
      </c>
      <c r="E43" s="61">
        <f>IF(SUMIF('regrets 4'!$B43:$F43, "&gt;0") &gt; 0, MAX('regrets 4'!E43, 0) / SUMIF('regrets 4'!$B43:$F43, "&gt;0"), 1 / COUNT('regrets 4'!$B43:$F43))</f>
        <v>0.33333333333333331</v>
      </c>
      <c r="F43" s="90"/>
      <c r="G43" s="60"/>
      <c r="H43" s="60">
        <f>IF(SUMIF('regrets 4'!$G43:$K43, "&gt;0") &gt; 0, MAX('regrets 4'!H43, 0) / SUMIF('regrets 4'!$G43:$K43, "&gt;0"), 1 / COUNT('regrets 4'!$G43:$K43))</f>
        <v>0.33333333333333331</v>
      </c>
      <c r="I43" s="60">
        <f>IF(SUMIF('regrets 4'!$G43:$K43, "&gt;0") &gt; 0, MAX('regrets 4'!I43, 0) / SUMIF('regrets 4'!$G43:$K43, "&gt;0"), 1 / COUNT('regrets 4'!$G43:$K43))</f>
        <v>0.33333333333333331</v>
      </c>
      <c r="J43" s="60">
        <f>IF(SUMIF('regrets 4'!$G43:$K43, "&gt;0") &gt; 0, MAX('regrets 4'!J43, 0) / SUMIF('regrets 4'!$G43:$K43, "&gt;0"), 1 / COUNT('regrets 4'!$G43:$K43))</f>
        <v>0.33333333333333331</v>
      </c>
      <c r="K43" s="90"/>
      <c r="L43" s="60"/>
      <c r="M43" s="60">
        <f>IF(SUMIF('regrets 4'!$L43:$P43, "&gt;0") &gt; 0, MAX('regrets 4'!M43, 0) / SUMIF('regrets 4'!$L43:$P43, "&gt;0"), 1 / COUNT('regrets 4'!$L43:$P43))</f>
        <v>0.33333333333333331</v>
      </c>
      <c r="N43" s="60">
        <f>IF(SUMIF('regrets 4'!$L43:$P43, "&gt;0") &gt; 0, MAX('regrets 4'!N43, 0) / SUMIF('regrets 4'!$L43:$P43, "&gt;0"), 1 / COUNT('regrets 4'!$L43:$P43))</f>
        <v>0.33333333333333331</v>
      </c>
      <c r="O43" s="60">
        <f>IF(SUMIF('regrets 4'!$L43:$P43, "&gt;0") &gt; 0, MAX('regrets 4'!O43, 0) / SUMIF('regrets 4'!$L43:$P43, "&gt;0"), 1 / COUNT('regrets 4'!$L43:$P43))</f>
        <v>0.33333333333333331</v>
      </c>
      <c r="P43" s="90"/>
      <c r="Q43" s="60"/>
      <c r="R43" s="60">
        <f>IF(SUMIF('regrets 4'!$Q43:$U43, "&gt;0") &gt; 0, MAX('regrets 4'!R43, 0) / SUMIF('regrets 4'!$Q43:$U43, "&gt;0"), 1 / COUNT('regrets 4'!$Q43:$U43))</f>
        <v>0.33333333333333331</v>
      </c>
      <c r="S43" s="60">
        <f>IF(SUMIF('regrets 4'!$Q43:$U43, "&gt;0") &gt; 0, MAX('regrets 4'!S43, 0) / SUMIF('regrets 4'!$Q43:$U43, "&gt;0"), 1 / COUNT('regrets 4'!$Q43:$U43))</f>
        <v>0.33333333333333331</v>
      </c>
      <c r="T43" s="60">
        <f>IF(SUMIF('regrets 4'!$Q43:$U43, "&gt;0") &gt; 0, MAX('regrets 4'!T43, 0) / SUMIF('regrets 4'!$Q43:$U43, "&gt;0"), 1 / COUNT('regrets 4'!$Q43:$U43))</f>
        <v>0.33333333333333331</v>
      </c>
      <c r="U43" s="90"/>
    </row>
    <row r="44" spans="1:21" ht="20" customHeight="1" x14ac:dyDescent="0.15">
      <c r="A44" s="12">
        <v>3</v>
      </c>
      <c r="B44" s="61">
        <f>IF(SUMIF('regrets 4'!$B44:$F44, "&gt;0") &gt; 0, MAX('regrets 4'!B44, 0) / SUMIF('regrets 4'!$B44:$F44, "&gt;0"), 1 / COUNT('regrets 4'!$B44:$F44))</f>
        <v>0.5</v>
      </c>
      <c r="C44" s="61">
        <f>IF(SUMIF('regrets 4'!$B44:$F44, "&gt;0") &gt; 0, MAX('regrets 4'!C44, 0) / SUMIF('regrets 4'!$B44:$F44, "&gt;0"), 1 / COUNT('regrets 4'!$B44:$F44))</f>
        <v>0.5</v>
      </c>
      <c r="D44" s="61"/>
      <c r="E44" s="61"/>
      <c r="F44" s="90"/>
      <c r="G44" s="60">
        <f>IF(SUMIF('regrets 4'!$G44:$K44, "&gt;0") &gt; 0, MAX('regrets 4'!G44, 0) / SUMIF('regrets 4'!$G44:$K44, "&gt;0"), 1 / COUNT('regrets 4'!$G44:$K44))</f>
        <v>0.5</v>
      </c>
      <c r="H44" s="60">
        <f>IF(SUMIF('regrets 4'!$G44:$K44, "&gt;0") &gt; 0, MAX('regrets 4'!H44, 0) / SUMIF('regrets 4'!$G44:$K44, "&gt;0"), 1 / COUNT('regrets 4'!$G44:$K44))</f>
        <v>0.5</v>
      </c>
      <c r="I44" s="61"/>
      <c r="J44" s="61"/>
      <c r="K44" s="90"/>
      <c r="L44" s="60">
        <f>IF(SUMIF('regrets 4'!$L44:$P44, "&gt;0") &gt; 0, MAX('regrets 4'!L44, 0) / SUMIF('regrets 4'!$L44:$P44, "&gt;0"), 1 / COUNT('regrets 4'!$L44:$P44))</f>
        <v>0.5</v>
      </c>
      <c r="M44" s="60">
        <f>IF(SUMIF('regrets 4'!$L44:$P44, "&gt;0") &gt; 0, MAX('regrets 4'!M44, 0) / SUMIF('regrets 4'!$L44:$P44, "&gt;0"), 1 / COUNT('regrets 4'!$L44:$P44))</f>
        <v>0.5</v>
      </c>
      <c r="N44" s="61"/>
      <c r="O44" s="61"/>
      <c r="P44" s="90"/>
      <c r="Q44" s="60">
        <f>IF(SUMIF('regrets 4'!$Q44:$U44, "&gt;0") &gt; 0, MAX('regrets 4'!Q44, 0) / SUMIF('regrets 4'!$Q44:$U44, "&gt;0"), 1 / COUNT('regrets 4'!$Q44:$U44))</f>
        <v>0.5</v>
      </c>
      <c r="R44" s="60">
        <f>IF(SUMIF('regrets 4'!$Q44:$U44, "&gt;0") &gt; 0, MAX('regrets 4'!R44, 0) / SUMIF('regrets 4'!$Q44:$U44, "&gt;0"), 1 / COUNT('regrets 4'!$Q44:$U44))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IF(SUMIF('regrets 4'!$B45:$F45, "&gt;0") &gt; 0, MAX('regrets 4'!B45, 0) / SUMIF('regrets 4'!$B45:$F45, "&gt;0"), 1 / COUNT('regrets 4'!$B45:$F45))</f>
        <v>0.33333333333333331</v>
      </c>
      <c r="C45" s="61">
        <f>IF(SUMIF('regrets 4'!$B45:$F45, "&gt;0") &gt; 0, MAX('regrets 4'!C45, 0) / SUMIF('regrets 4'!$B45:$F45, "&gt;0"), 1 / COUNT('regrets 4'!$B45:$F45))</f>
        <v>0.33333333333333331</v>
      </c>
      <c r="D45" s="61">
        <f>IF(SUMIF('regrets 4'!$B45:$F45, "&gt;0") &gt; 0, MAX('regrets 4'!D45, 0) / SUMIF('regrets 4'!$B45:$F45, "&gt;0"), 1 / COUNT('regrets 4'!$B45:$F45))</f>
        <v>0.33333333333333331</v>
      </c>
      <c r="E45" s="61"/>
      <c r="F45" s="90"/>
      <c r="G45" s="60">
        <f>IF(SUMIF('regrets 4'!$G45:$K45, "&gt;0") &gt; 0, MAX('regrets 4'!G45, 0) / SUMIF('regrets 4'!$G45:$K45, "&gt;0"), 1 / COUNT('regrets 4'!$G45:$K45))</f>
        <v>0.33333333333333331</v>
      </c>
      <c r="H45" s="60">
        <f>IF(SUMIF('regrets 4'!$G45:$K45, "&gt;0") &gt; 0, MAX('regrets 4'!H45, 0) / SUMIF('regrets 4'!$G45:$K45, "&gt;0"), 1 / COUNT('regrets 4'!$G45:$K45))</f>
        <v>0.33333333333333331</v>
      </c>
      <c r="I45" s="60">
        <f>IF(SUMIF('regrets 4'!$G45:$K45, "&gt;0") &gt; 0, MAX('regrets 4'!I45, 0) / SUMIF('regrets 4'!$G45:$K45, "&gt;0"), 1 / COUNT('regrets 4'!$G45:$K45))</f>
        <v>0.33333333333333331</v>
      </c>
      <c r="J45" s="61"/>
      <c r="K45" s="90"/>
      <c r="L45" s="60">
        <f>IF(SUMIF('regrets 4'!$L45:$P45, "&gt;0") &gt; 0, MAX('regrets 4'!L45, 0) / SUMIF('regrets 4'!$L45:$P45, "&gt;0"), 1 / COUNT('regrets 4'!$L45:$P45))</f>
        <v>0.33333333333333331</v>
      </c>
      <c r="M45" s="60">
        <f>IF(SUMIF('regrets 4'!$L45:$P45, "&gt;0") &gt; 0, MAX('regrets 4'!M45, 0) / SUMIF('regrets 4'!$L45:$P45, "&gt;0"), 1 / COUNT('regrets 4'!$L45:$P45))</f>
        <v>0.33333333333333331</v>
      </c>
      <c r="N45" s="60">
        <f>IF(SUMIF('regrets 4'!$L45:$P45, "&gt;0") &gt; 0, MAX('regrets 4'!N45, 0) / SUMIF('regrets 4'!$L45:$P45, "&gt;0"), 1 / COUNT('regrets 4'!$L45:$P45))</f>
        <v>0.33333333333333331</v>
      </c>
      <c r="O45" s="61"/>
      <c r="P45" s="90"/>
      <c r="Q45" s="60">
        <f>IF(SUMIF('regrets 4'!$Q45:$U45, "&gt;0") &gt; 0, MAX('regrets 4'!Q45, 0) / SUMIF('regrets 4'!$Q45:$U45, "&gt;0"), 1 / COUNT('regrets 4'!$Q45:$U45))</f>
        <v>0.33333333333333331</v>
      </c>
      <c r="R45" s="60">
        <f>IF(SUMIF('regrets 4'!$Q45:$U45, "&gt;0") &gt; 0, MAX('regrets 4'!R45, 0) / SUMIF('regrets 4'!$Q45:$U45, "&gt;0"), 1 / COUNT('regrets 4'!$Q45:$U45))</f>
        <v>0.33333333333333331</v>
      </c>
      <c r="S45" s="60">
        <f>IF(SUMIF('regrets 4'!$Q45:$U45, "&gt;0") &gt; 0, MAX('regrets 4'!S45, 0) / SUMIF('regrets 4'!$Q45:$U45, "&gt;0"), 1 / COUNT('regrets 4'!$Q45:$U45))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IF(SUMIF('regrets 4'!$B46:$F46, "&gt;0") &gt; 0, MAX('regrets 4'!B46, 0) / SUMIF('regrets 4'!$B46:$F46, "&gt;0"), 1 / COUNT('regrets 4'!$B46:$F46))</f>
        <v>0.5</v>
      </c>
      <c r="C46" s="61">
        <f>IF(SUMIF('regrets 4'!$B46:$F46, "&gt;0") &gt; 0, MAX('regrets 4'!C46, 0) / SUMIF('regrets 4'!$B46:$F46, "&gt;0"), 1 / COUNT('regrets 4'!$B46:$F46))</f>
        <v>0.5</v>
      </c>
      <c r="D46" s="61"/>
      <c r="E46" s="61"/>
      <c r="F46" s="90"/>
      <c r="G46" s="60">
        <f>IF(SUMIF('regrets 4'!$G46:$K46, "&gt;0") &gt; 0, MAX('regrets 4'!G46, 0) / SUMIF('regrets 4'!$G46:$K46, "&gt;0"), 1 / COUNT('regrets 4'!$G46:$K46))</f>
        <v>0.5</v>
      </c>
      <c r="H46" s="60">
        <f>IF(SUMIF('regrets 4'!$G46:$K46, "&gt;0") &gt; 0, MAX('regrets 4'!H46, 0) / SUMIF('regrets 4'!$G46:$K46, "&gt;0"), 1 / COUNT('regrets 4'!$G46:$K46))</f>
        <v>0.5</v>
      </c>
      <c r="I46" s="61"/>
      <c r="J46" s="61"/>
      <c r="K46" s="90"/>
      <c r="L46" s="60">
        <f>IF(SUMIF('regrets 4'!$L46:$P46, "&gt;0") &gt; 0, MAX('regrets 4'!L46, 0) / SUMIF('regrets 4'!$L46:$P46, "&gt;0"), 1 / COUNT('regrets 4'!$L46:$P46))</f>
        <v>0.5</v>
      </c>
      <c r="M46" s="60">
        <f>IF(SUMIF('regrets 4'!$L46:$P46, "&gt;0") &gt; 0, MAX('regrets 4'!M46, 0) / SUMIF('regrets 4'!$L46:$P46, "&gt;0"), 1 / COUNT('regrets 4'!$L46:$P46))</f>
        <v>0.5</v>
      </c>
      <c r="N46" s="61"/>
      <c r="O46" s="61"/>
      <c r="P46" s="90"/>
      <c r="Q46" s="60">
        <f>IF(SUMIF('regrets 4'!$Q46:$U46, "&gt;0") &gt; 0, MAX('regrets 4'!Q46, 0) / SUMIF('regrets 4'!$Q46:$U46, "&gt;0"), 1 / COUNT('regrets 4'!$Q46:$U46))</f>
        <v>0.5</v>
      </c>
      <c r="R46" s="60">
        <f>IF(SUMIF('regrets 4'!$Q46:$U46, "&gt;0") &gt; 0, MAX('regrets 4'!R46, 0) / SUMIF('regrets 4'!$Q46:$U46, "&gt;0"), 1 / COUNT('regrets 4'!$Q46:$U46))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IF(SUMIF('regrets 4'!$B47:$F47, "&gt;0") &gt; 0, MAX('regrets 4'!B47, 0) / SUMIF('regrets 4'!$B47:$F47, "&gt;0"), 1 / COUNT('regrets 4'!$B47:$F47))</f>
        <v>0.33333333333333331</v>
      </c>
      <c r="C47" s="61">
        <f>IF(SUMIF('regrets 4'!$B47:$F47, "&gt;0") &gt; 0, MAX('regrets 4'!C47, 0) / SUMIF('regrets 4'!$B47:$F47, "&gt;0"), 1 / COUNT('regrets 4'!$B47:$F47))</f>
        <v>0.33333333333333331</v>
      </c>
      <c r="D47" s="61">
        <f>IF(SUMIF('regrets 4'!$B47:$F47, "&gt;0") &gt; 0, MAX('regrets 4'!D47, 0) / SUMIF('regrets 4'!$B47:$F47, "&gt;0"), 1 / COUNT('regrets 4'!$B47:$F47))</f>
        <v>0.33333333333333331</v>
      </c>
      <c r="E47" s="61"/>
      <c r="F47" s="90"/>
      <c r="G47" s="60">
        <f>IF(SUMIF('regrets 4'!$G47:$K47, "&gt;0") &gt; 0, MAX('regrets 4'!G47, 0) / SUMIF('regrets 4'!$G47:$K47, "&gt;0"), 1 / COUNT('regrets 4'!$G47:$K47))</f>
        <v>0.33333333333333331</v>
      </c>
      <c r="H47" s="60">
        <f>IF(SUMIF('regrets 4'!$G47:$K47, "&gt;0") &gt; 0, MAX('regrets 4'!H47, 0) / SUMIF('regrets 4'!$G47:$K47, "&gt;0"), 1 / COUNT('regrets 4'!$G47:$K47))</f>
        <v>0.33333333333333331</v>
      </c>
      <c r="I47" s="60">
        <f>IF(SUMIF('regrets 4'!$G47:$K47, "&gt;0") &gt; 0, MAX('regrets 4'!I47, 0) / SUMIF('regrets 4'!$G47:$K47, "&gt;0"), 1 / COUNT('regrets 4'!$G47:$K47))</f>
        <v>0.33333333333333331</v>
      </c>
      <c r="J47" s="61"/>
      <c r="K47" s="90"/>
      <c r="L47" s="60">
        <f>IF(SUMIF('regrets 4'!$L47:$P47, "&gt;0") &gt; 0, MAX('regrets 4'!L47, 0) / SUMIF('regrets 4'!$L47:$P47, "&gt;0"), 1 / COUNT('regrets 4'!$L47:$P47))</f>
        <v>0.33333333333333331</v>
      </c>
      <c r="M47" s="60">
        <f>IF(SUMIF('regrets 4'!$L47:$P47, "&gt;0") &gt; 0, MAX('regrets 4'!M47, 0) / SUMIF('regrets 4'!$L47:$P47, "&gt;0"), 1 / COUNT('regrets 4'!$L47:$P47))</f>
        <v>0.33333333333333331</v>
      </c>
      <c r="N47" s="60">
        <f>IF(SUMIF('regrets 4'!$L47:$P47, "&gt;0") &gt; 0, MAX('regrets 4'!N47, 0) / SUMIF('regrets 4'!$L47:$P47, "&gt;0"), 1 / COUNT('regrets 4'!$L47:$P47))</f>
        <v>0.33333333333333331</v>
      </c>
      <c r="O47" s="61"/>
      <c r="P47" s="90"/>
      <c r="Q47" s="60">
        <f>IF(SUMIF('regrets 4'!$Q47:$U47, "&gt;0") &gt; 0, MAX('regrets 4'!Q47, 0) / SUMIF('regrets 4'!$Q47:$U47, "&gt;0"), 1 / COUNT('regrets 4'!$Q47:$U47))</f>
        <v>0.33333333333333331</v>
      </c>
      <c r="R47" s="60">
        <f>IF(SUMIF('regrets 4'!$Q47:$U47, "&gt;0") &gt; 0, MAX('regrets 4'!R47, 0) / SUMIF('regrets 4'!$Q47:$U47, "&gt;0"), 1 / COUNT('regrets 4'!$Q47:$U47))</f>
        <v>0.33333333333333331</v>
      </c>
      <c r="S47" s="60">
        <f>IF(SUMIF('regrets 4'!$Q47:$U47, "&gt;0") &gt; 0, MAX('regrets 4'!S47, 0) / SUMIF('regrets 4'!$Q47:$U47, "&gt;0"), 1 / COUNT('regrets 4'!$Q47:$U47))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IF(SUMIF('regrets 4'!$B48:$F48, "&gt;0") &gt; 0, MAX('regrets 4'!B48, 0) / SUMIF('regrets 4'!$B48:$F48, "&gt;0"), 1 / COUNT('regrets 4'!$B48:$F48))</f>
        <v>0.5</v>
      </c>
      <c r="C48" s="61">
        <f>IF(SUMIF('regrets 4'!$B48:$F48, "&gt;0") &gt; 0, MAX('regrets 4'!C48, 0) / SUMIF('regrets 4'!$B48:$F48, "&gt;0"), 1 / COUNT('regrets 4'!$B48:$F48))</f>
        <v>0.5</v>
      </c>
      <c r="D48" s="61"/>
      <c r="E48" s="61"/>
      <c r="F48" s="90"/>
      <c r="G48" s="60">
        <f>IF(SUMIF('regrets 4'!$G48:$K48, "&gt;0") &gt; 0, MAX('regrets 4'!G48, 0) / SUMIF('regrets 4'!$G48:$K48, "&gt;0"), 1 / COUNT('regrets 4'!$G48:$K48))</f>
        <v>0.5</v>
      </c>
      <c r="H48" s="60">
        <f>IF(SUMIF('regrets 4'!$G48:$K48, "&gt;0") &gt; 0, MAX('regrets 4'!H48, 0) / SUMIF('regrets 4'!$G48:$K48, "&gt;0"), 1 / COUNT('regrets 4'!$G48:$K48))</f>
        <v>0.5</v>
      </c>
      <c r="I48" s="61"/>
      <c r="J48" s="61"/>
      <c r="K48" s="90"/>
      <c r="L48" s="60">
        <f>IF(SUMIF('regrets 4'!$L48:$P48, "&gt;0") &gt; 0, MAX('regrets 4'!L48, 0) / SUMIF('regrets 4'!$L48:$P48, "&gt;0"), 1 / COUNT('regrets 4'!$L48:$P48))</f>
        <v>0.5</v>
      </c>
      <c r="M48" s="60">
        <f>IF(SUMIF('regrets 4'!$L48:$P48, "&gt;0") &gt; 0, MAX('regrets 4'!M48, 0) / SUMIF('regrets 4'!$L48:$P48, "&gt;0"), 1 / COUNT('regrets 4'!$L48:$P48))</f>
        <v>0.5</v>
      </c>
      <c r="N48" s="61"/>
      <c r="O48" s="61"/>
      <c r="P48" s="90"/>
      <c r="Q48" s="60">
        <f>IF(SUMIF('regrets 4'!$Q48:$U48, "&gt;0") &gt; 0, MAX('regrets 4'!Q48, 0) / SUMIF('regrets 4'!$Q48:$U48, "&gt;0"), 1 / COUNT('regrets 4'!$Q48:$U48))</f>
        <v>0.5</v>
      </c>
      <c r="R48" s="60">
        <f>IF(SUMIF('regrets 4'!$Q48:$U48, "&gt;0") &gt; 0, MAX('regrets 4'!R48, 0) / SUMIF('regrets 4'!$Q48:$U48, "&gt;0"), 1 / COUNT('regrets 4'!$Q48:$U48))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IF(SUMIF('regrets 4'!$B49:$F49, "&gt;0") &gt; 0, MAX('regrets 4'!C49, 0) / SUMIF('regrets 4'!$B49:$F49, "&gt;0"), 1 / COUNT('regrets 4'!$B49:$F49))</f>
        <v>0.33333333333333331</v>
      </c>
      <c r="D49" s="61">
        <f>IF(SUMIF('regrets 4'!$B49:$F49, "&gt;0") &gt; 0, MAX('regrets 4'!D49, 0) / SUMIF('regrets 4'!$B49:$F49, "&gt;0"), 1 / COUNT('regrets 4'!$B49:$F49))</f>
        <v>0.33333333333333331</v>
      </c>
      <c r="E49" s="61">
        <f>IF(SUMIF('regrets 4'!$B49:$F49, "&gt;0") &gt; 0, MAX('regrets 4'!E49, 0) / SUMIF('regrets 4'!$B49:$F49, "&gt;0"), 1 / COUNT('regrets 4'!$B49:$F49))</f>
        <v>0.33333333333333331</v>
      </c>
      <c r="F49" s="90"/>
      <c r="G49" s="60"/>
      <c r="H49" s="60">
        <f>IF(SUMIF('regrets 4'!$G49:$K49, "&gt;0") &gt; 0, MAX('regrets 4'!H49, 0) / SUMIF('regrets 4'!$G49:$K49, "&gt;0"), 1 / COUNT('regrets 4'!$G49:$K49))</f>
        <v>0.33333333333333331</v>
      </c>
      <c r="I49" s="60">
        <f>IF(SUMIF('regrets 4'!$G49:$K49, "&gt;0") &gt; 0, MAX('regrets 4'!I49, 0) / SUMIF('regrets 4'!$G49:$K49, "&gt;0"), 1 / COUNT('regrets 4'!$G49:$K49))</f>
        <v>0.33333333333333331</v>
      </c>
      <c r="J49" s="60">
        <f>IF(SUMIF('regrets 4'!$G49:$K49, "&gt;0") &gt; 0, MAX('regrets 4'!J49, 0) / SUMIF('regrets 4'!$G49:$K49, "&gt;0"), 1 / COUNT('regrets 4'!$G49:$K49))</f>
        <v>0.33333333333333331</v>
      </c>
      <c r="K49" s="90"/>
      <c r="L49" s="60"/>
      <c r="M49" s="60">
        <f>IF(SUMIF('regrets 4'!$L49:$P49, "&gt;0") &gt; 0, MAX('regrets 4'!M49, 0) / SUMIF('regrets 4'!$L49:$P49, "&gt;0"), 1 / COUNT('regrets 4'!$L49:$P49))</f>
        <v>0.33333333333333331</v>
      </c>
      <c r="N49" s="60">
        <f>IF(SUMIF('regrets 4'!$L49:$P49, "&gt;0") &gt; 0, MAX('regrets 4'!N49, 0) / SUMIF('regrets 4'!$L49:$P49, "&gt;0"), 1 / COUNT('regrets 4'!$L49:$P49))</f>
        <v>0.33333333333333331</v>
      </c>
      <c r="O49" s="60">
        <f>IF(SUMIF('regrets 4'!$L49:$P49, "&gt;0") &gt; 0, MAX('regrets 4'!O49, 0) / SUMIF('regrets 4'!$L49:$P49, "&gt;0"), 1 / COUNT('regrets 4'!$L49:$P49))</f>
        <v>0.33333333333333331</v>
      </c>
      <c r="P49" s="90"/>
      <c r="Q49" s="60"/>
      <c r="R49" s="60">
        <f>IF(SUMIF('regrets 4'!$Q49:$U49, "&gt;0") &gt; 0, MAX('regrets 4'!R49, 0) / SUMIF('regrets 4'!$Q49:$U49, "&gt;0"), 1 / COUNT('regrets 4'!$Q49:$U49))</f>
        <v>0.33333333333333331</v>
      </c>
      <c r="S49" s="60">
        <f>IF(SUMIF('regrets 4'!$Q49:$U49, "&gt;0") &gt; 0, MAX('regrets 4'!S49, 0) / SUMIF('regrets 4'!$Q49:$U49, "&gt;0"), 1 / COUNT('regrets 4'!$Q49:$U49))</f>
        <v>0.33333333333333331</v>
      </c>
      <c r="T49" s="60">
        <f>IF(SUMIF('regrets 4'!$Q49:$U49, "&gt;0") &gt; 0, MAX('regrets 4'!T49, 0) / SUMIF('regrets 4'!$Q49:$U49, "&gt;0"), 1 / COUNT('regrets 4'!$Q49:$U49))</f>
        <v>0.33333333333333331</v>
      </c>
      <c r="U49" s="90"/>
    </row>
    <row r="50" spans="1:21" ht="20" customHeight="1" x14ac:dyDescent="0.15">
      <c r="A50" s="12">
        <v>9</v>
      </c>
      <c r="B50" s="61">
        <f>IF(SUMIF('regrets 4'!$B50:$F50, "&gt;0") &gt; 0, MAX('regrets 4'!B50, 0) / SUMIF('regrets 4'!$B50:$F50, "&gt;0"), 1 / COUNT('regrets 4'!$B50:$F50))</f>
        <v>0.5</v>
      </c>
      <c r="C50" s="61">
        <f>IF(SUMIF('regrets 4'!$B50:$F50, "&gt;0") &gt; 0, MAX('regrets 4'!C50, 0) / SUMIF('regrets 4'!$B50:$F50, "&gt;0"), 1 / COUNT('regrets 4'!$B50:$F50))</f>
        <v>0.5</v>
      </c>
      <c r="D50" s="61"/>
      <c r="E50" s="61"/>
      <c r="F50" s="90"/>
      <c r="G50" s="60">
        <f>IF(SUMIF('regrets 4'!$G50:$K50, "&gt;0") &gt; 0, MAX('regrets 4'!G50, 0) / SUMIF('regrets 4'!$G50:$K50, "&gt;0"), 1 / COUNT('regrets 4'!$G50:$K50))</f>
        <v>0.5</v>
      </c>
      <c r="H50" s="60">
        <f>IF(SUMIF('regrets 4'!$G50:$K50, "&gt;0") &gt; 0, MAX('regrets 4'!H50, 0) / SUMIF('regrets 4'!$G50:$K50, "&gt;0"), 1 / COUNT('regrets 4'!$G50:$K50))</f>
        <v>0.5</v>
      </c>
      <c r="I50" s="61"/>
      <c r="J50" s="61"/>
      <c r="K50" s="90"/>
      <c r="L50" s="60">
        <f>IF(SUMIF('regrets 4'!$L50:$P50, "&gt;0") &gt; 0, MAX('regrets 4'!L50, 0) / SUMIF('regrets 4'!$L50:$P50, "&gt;0"), 1 / COUNT('regrets 4'!$L50:$P50))</f>
        <v>0.5</v>
      </c>
      <c r="M50" s="60">
        <f>IF(SUMIF('regrets 4'!$L50:$P50, "&gt;0") &gt; 0, MAX('regrets 4'!M50, 0) / SUMIF('regrets 4'!$L50:$P50, "&gt;0"), 1 / COUNT('regrets 4'!$L50:$P50))</f>
        <v>0.5</v>
      </c>
      <c r="N50" s="61"/>
      <c r="O50" s="61"/>
      <c r="P50" s="90"/>
      <c r="Q50" s="60">
        <f>IF(SUMIF('regrets 4'!$Q50:$U50, "&gt;0") &gt; 0, MAX('regrets 4'!Q50, 0) / SUMIF('regrets 4'!$Q50:$U50, "&gt;0"), 1 / COUNT('regrets 4'!$Q50:$U50))</f>
        <v>0.5</v>
      </c>
      <c r="R50" s="60">
        <f>IF(SUMIF('regrets 4'!$Q50:$U50, "&gt;0") &gt; 0, MAX('regrets 4'!R50, 0) / SUMIF('regrets 4'!$Q50:$U50, "&gt;0"), 1 / COUNT('regrets 4'!$Q50:$U50))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IF(SUMIF('regrets 4'!$B51:$F51, "&gt;0") &gt; 0, MAX('regrets 4'!C51, 0) / SUMIF('regrets 4'!$B51:$F51, "&gt;0"), 1 / COUNT('regrets 4'!$B51:$F51))</f>
        <v>0.33333333333333331</v>
      </c>
      <c r="D51" s="61">
        <f>IF(SUMIF('regrets 4'!$B51:$F51, "&gt;0") &gt; 0, MAX('regrets 4'!D51, 0) / SUMIF('regrets 4'!$B51:$F51, "&gt;0"), 1 / COUNT('regrets 4'!$B51:$F51))</f>
        <v>0.33333333333333331</v>
      </c>
      <c r="E51" s="61">
        <f>IF(SUMIF('regrets 4'!$B51:$F51, "&gt;0") &gt; 0, MAX('regrets 4'!E51, 0) / SUMIF('regrets 4'!$B51:$F51, "&gt;0"), 1 / COUNT('regrets 4'!$B51:$F51))</f>
        <v>0.33333333333333331</v>
      </c>
      <c r="F51" s="90"/>
      <c r="G51" s="60"/>
      <c r="H51" s="60">
        <f>IF(SUMIF('regrets 4'!$G51:$K51, "&gt;0") &gt; 0, MAX('regrets 4'!H51, 0) / SUMIF('regrets 4'!$G51:$K51, "&gt;0"), 1 / COUNT('regrets 4'!$G51:$K51))</f>
        <v>0.33333333333333331</v>
      </c>
      <c r="I51" s="60">
        <f>IF(SUMIF('regrets 4'!$G51:$K51, "&gt;0") &gt; 0, MAX('regrets 4'!I51, 0) / SUMIF('regrets 4'!$G51:$K51, "&gt;0"), 1 / COUNT('regrets 4'!$G51:$K51))</f>
        <v>0.33333333333333331</v>
      </c>
      <c r="J51" s="60">
        <f>IF(SUMIF('regrets 4'!$G51:$K51, "&gt;0") &gt; 0, MAX('regrets 4'!J51, 0) / SUMIF('regrets 4'!$G51:$K51, "&gt;0"), 1 / COUNT('regrets 4'!$G51:$K51))</f>
        <v>0.33333333333333331</v>
      </c>
      <c r="K51" s="90"/>
      <c r="L51" s="60"/>
      <c r="M51" s="60">
        <f>IF(SUMIF('regrets 4'!$L51:$P51, "&gt;0") &gt; 0, MAX('regrets 4'!M51, 0) / SUMIF('regrets 4'!$L51:$P51, "&gt;0"), 1 / COUNT('regrets 4'!$L51:$P51))</f>
        <v>0.33333333333333331</v>
      </c>
      <c r="N51" s="60">
        <f>IF(SUMIF('regrets 4'!$L51:$P51, "&gt;0") &gt; 0, MAX('regrets 4'!N51, 0) / SUMIF('regrets 4'!$L51:$P51, "&gt;0"), 1 / COUNT('regrets 4'!$L51:$P51))</f>
        <v>0.33333333333333331</v>
      </c>
      <c r="O51" s="60">
        <f>IF(SUMIF('regrets 4'!$L51:$P51, "&gt;0") &gt; 0, MAX('regrets 4'!O51, 0) / SUMIF('regrets 4'!$L51:$P51, "&gt;0"), 1 / COUNT('regrets 4'!$L51:$P51))</f>
        <v>0.33333333333333331</v>
      </c>
      <c r="P51" s="90"/>
      <c r="Q51" s="60"/>
      <c r="R51" s="60">
        <f>IF(SUMIF('regrets 4'!$Q51:$U51, "&gt;0") &gt; 0, MAX('regrets 4'!R51, 0) / SUMIF('regrets 4'!$Q51:$U51, "&gt;0"), 1 / COUNT('regrets 4'!$Q51:$U51))</f>
        <v>0.33333333333333331</v>
      </c>
      <c r="S51" s="60">
        <f>IF(SUMIF('regrets 4'!$Q51:$U51, "&gt;0") &gt; 0, MAX('regrets 4'!S51, 0) / SUMIF('regrets 4'!$Q51:$U51, "&gt;0"), 1 / COUNT('regrets 4'!$Q51:$U51))</f>
        <v>0.33333333333333331</v>
      </c>
      <c r="T51" s="60">
        <f>IF(SUMIF('regrets 4'!$Q51:$U51, "&gt;0") &gt; 0, MAX('regrets 4'!T51, 0) / SUMIF('regrets 4'!$Q51:$U51, "&gt;0"), 1 / COUNT('regrets 4'!$Q51:$U51))</f>
        <v>0.33333333333333331</v>
      </c>
      <c r="U51" s="90"/>
    </row>
    <row r="52" spans="1:21" ht="20" customHeight="1" x14ac:dyDescent="0.15">
      <c r="A52" s="12">
        <v>11</v>
      </c>
      <c r="B52" s="61">
        <f>IF(SUMIF('regrets 4'!$B52:$F52, "&gt;0") &gt; 0, MAX('regrets 4'!B52, 0) / SUMIF('regrets 4'!$B52:$F52, "&gt;0"), 1 / COUNT('regrets 4'!$B52:$F52))</f>
        <v>0.5</v>
      </c>
      <c r="C52" s="61">
        <f>IF(SUMIF('regrets 4'!$B52:$F52, "&gt;0") &gt; 0, MAX('regrets 4'!C52, 0) / SUMIF('regrets 4'!$B52:$F52, "&gt;0"), 1 / COUNT('regrets 4'!$B52:$F52))</f>
        <v>0.5</v>
      </c>
      <c r="D52" s="61"/>
      <c r="E52" s="61"/>
      <c r="F52" s="90"/>
      <c r="G52" s="60">
        <f>IF(SUMIF('regrets 4'!$G52:$K52, "&gt;0") &gt; 0, MAX('regrets 4'!G52, 0) / SUMIF('regrets 4'!$G52:$K52, "&gt;0"), 1 / COUNT('regrets 4'!$G52:$K52))</f>
        <v>0.5</v>
      </c>
      <c r="H52" s="60">
        <f>IF(SUMIF('regrets 4'!$G52:$K52, "&gt;0") &gt; 0, MAX('regrets 4'!H52, 0) / SUMIF('regrets 4'!$G52:$K52, "&gt;0"), 1 / COUNT('regrets 4'!$G52:$K52))</f>
        <v>0.5</v>
      </c>
      <c r="I52" s="61"/>
      <c r="J52" s="61"/>
      <c r="K52" s="90"/>
      <c r="L52" s="60">
        <f>IF(SUMIF('regrets 4'!$L52:$P52, "&gt;0") &gt; 0, MAX('regrets 4'!L52, 0) / SUMIF('regrets 4'!$L52:$P52, "&gt;0"), 1 / COUNT('regrets 4'!$L52:$P52))</f>
        <v>0.5</v>
      </c>
      <c r="M52" s="60">
        <f>IF(SUMIF('regrets 4'!$L52:$P52, "&gt;0") &gt; 0, MAX('regrets 4'!M52, 0) / SUMIF('regrets 4'!$L52:$P52, "&gt;0"), 1 / COUNT('regrets 4'!$L52:$P52))</f>
        <v>0.5</v>
      </c>
      <c r="N52" s="61"/>
      <c r="O52" s="61"/>
      <c r="P52" s="90"/>
      <c r="Q52" s="60">
        <f>IF(SUMIF('regrets 4'!$Q52:$U52, "&gt;0") &gt; 0, MAX('regrets 4'!Q52, 0) / SUMIF('regrets 4'!$Q52:$U52, "&gt;0"), 1 / COUNT('regrets 4'!$Q52:$U52))</f>
        <v>0.5</v>
      </c>
      <c r="R52" s="60">
        <f>IF(SUMIF('regrets 4'!$Q52:$U52, "&gt;0") &gt; 0, MAX('regrets 4'!R52, 0) / SUMIF('regrets 4'!$Q52:$U52, "&gt;0"), 1 / COUNT('regrets 4'!$Q52:$U52))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IF(SUMIF('regrets 4'!$B53:$F53, "&gt;0") &gt; 0, MAX('regrets 4'!B53, 0) / SUMIF('regrets 4'!$B53:$F53, "&gt;0"), 1 / COUNT('regrets 4'!$B53:$F53))</f>
        <v>0.33333333333333331</v>
      </c>
      <c r="C53" s="61">
        <f>IF(SUMIF('regrets 4'!$B53:$F53, "&gt;0") &gt; 0, MAX('regrets 4'!C53, 0) / SUMIF('regrets 4'!$B53:$F53, "&gt;0"), 1 / COUNT('regrets 4'!$B53:$F53))</f>
        <v>0.33333333333333331</v>
      </c>
      <c r="D53" s="61">
        <f>IF(SUMIF('regrets 4'!$B53:$F53, "&gt;0") &gt; 0, MAX('regrets 4'!D53, 0) / SUMIF('regrets 4'!$B53:$F53, "&gt;0"), 1 / COUNT('regrets 4'!$B53:$F53))</f>
        <v>0.33333333333333331</v>
      </c>
      <c r="E53" s="61"/>
      <c r="F53" s="90"/>
      <c r="G53" s="60">
        <f>IF(SUMIF('regrets 4'!$G53:$K53, "&gt;0") &gt; 0, MAX('regrets 4'!G53, 0) / SUMIF('regrets 4'!$G53:$K53, "&gt;0"), 1 / COUNT('regrets 4'!$G53:$K53))</f>
        <v>0.33333333333333331</v>
      </c>
      <c r="H53" s="60">
        <f>IF(SUMIF('regrets 4'!$G53:$K53, "&gt;0") &gt; 0, MAX('regrets 4'!H53, 0) / SUMIF('regrets 4'!$G53:$K53, "&gt;0"), 1 / COUNT('regrets 4'!$G53:$K53))</f>
        <v>0.33333333333333331</v>
      </c>
      <c r="I53" s="60">
        <f>IF(SUMIF('regrets 4'!$G53:$K53, "&gt;0") &gt; 0, MAX('regrets 4'!I53, 0) / SUMIF('regrets 4'!$G53:$K53, "&gt;0"), 1 / COUNT('regrets 4'!$G53:$K53))</f>
        <v>0.33333333333333331</v>
      </c>
      <c r="J53" s="61"/>
      <c r="K53" s="90"/>
      <c r="L53" s="60">
        <f>IF(SUMIF('regrets 4'!$L53:$P53, "&gt;0") &gt; 0, MAX('regrets 4'!L53, 0) / SUMIF('regrets 4'!$L53:$P53, "&gt;0"), 1 / COUNT('regrets 4'!$L53:$P53))</f>
        <v>0.33333333333333331</v>
      </c>
      <c r="M53" s="60">
        <f>IF(SUMIF('regrets 4'!$L53:$P53, "&gt;0") &gt; 0, MAX('regrets 4'!M53, 0) / SUMIF('regrets 4'!$L53:$P53, "&gt;0"), 1 / COUNT('regrets 4'!$L53:$P53))</f>
        <v>0.33333333333333331</v>
      </c>
      <c r="N53" s="60">
        <f>IF(SUMIF('regrets 4'!$L53:$P53, "&gt;0") &gt; 0, MAX('regrets 4'!N53, 0) / SUMIF('regrets 4'!$L53:$P53, "&gt;0"), 1 / COUNT('regrets 4'!$L53:$P53))</f>
        <v>0.33333333333333331</v>
      </c>
      <c r="O53" s="61"/>
      <c r="P53" s="90"/>
      <c r="Q53" s="60">
        <f>IF(SUMIF('regrets 4'!$Q53:$U53, "&gt;0") &gt; 0, MAX('regrets 4'!Q53, 0) / SUMIF('regrets 4'!$Q53:$U53, "&gt;0"), 1 / COUNT('regrets 4'!$Q53:$U53))</f>
        <v>0.33333333333333331</v>
      </c>
      <c r="R53" s="60">
        <f>IF(SUMIF('regrets 4'!$Q53:$U53, "&gt;0") &gt; 0, MAX('regrets 4'!R53, 0) / SUMIF('regrets 4'!$Q53:$U53, "&gt;0"), 1 / COUNT('regrets 4'!$Q53:$U53))</f>
        <v>0.33333333333333331</v>
      </c>
      <c r="S53" s="60">
        <f>IF(SUMIF('regrets 4'!$Q53:$U53, "&gt;0") &gt; 0, MAX('regrets 4'!S53, 0) / SUMIF('regrets 4'!$Q53:$U53, "&gt;0"), 1 / COUNT('regrets 4'!$Q53:$U53))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IF(SUMIF('regrets 4'!$B54:$F54, "&gt;0") &gt; 0, MAX('regrets 4'!B54, 0) / SUMIF('regrets 4'!$B54:$F54, "&gt;0"), 1 / COUNT('regrets 4'!$B54:$F54))</f>
        <v>0.5</v>
      </c>
      <c r="C54" s="61">
        <f>IF(SUMIF('regrets 4'!$B54:$F54, "&gt;0") &gt; 0, MAX('regrets 4'!C54, 0) / SUMIF('regrets 4'!$B54:$F54, "&gt;0"), 1 / COUNT('regrets 4'!$B54:$F54))</f>
        <v>0.5</v>
      </c>
      <c r="D54" s="61"/>
      <c r="E54" s="61"/>
      <c r="F54" s="90"/>
      <c r="G54" s="60">
        <f>IF(SUMIF('regrets 4'!$G54:$K54, "&gt;0") &gt; 0, MAX('regrets 4'!G54, 0) / SUMIF('regrets 4'!$G54:$K54, "&gt;0"), 1 / COUNT('regrets 4'!$G54:$K54))</f>
        <v>0.5</v>
      </c>
      <c r="H54" s="60">
        <f>IF(SUMIF('regrets 4'!$G54:$K54, "&gt;0") &gt; 0, MAX('regrets 4'!H54, 0) / SUMIF('regrets 4'!$G54:$K54, "&gt;0"), 1 / COUNT('regrets 4'!$G54:$K54))</f>
        <v>0.5</v>
      </c>
      <c r="I54" s="61"/>
      <c r="J54" s="61"/>
      <c r="K54" s="90"/>
      <c r="L54" s="60">
        <f>IF(SUMIF('regrets 4'!$L54:$P54, "&gt;0") &gt; 0, MAX('regrets 4'!L54, 0) / SUMIF('regrets 4'!$L54:$P54, "&gt;0"), 1 / COUNT('regrets 4'!$L54:$P54))</f>
        <v>0.5</v>
      </c>
      <c r="M54" s="60">
        <f>IF(SUMIF('regrets 4'!$L54:$P54, "&gt;0") &gt; 0, MAX('regrets 4'!M54, 0) / SUMIF('regrets 4'!$L54:$P54, "&gt;0"), 1 / COUNT('regrets 4'!$L54:$P54))</f>
        <v>0.5</v>
      </c>
      <c r="N54" s="61"/>
      <c r="O54" s="61"/>
      <c r="P54" s="90"/>
      <c r="Q54" s="60">
        <f>IF(SUMIF('regrets 4'!$Q54:$U54, "&gt;0") &gt; 0, MAX('regrets 4'!Q54, 0) / SUMIF('regrets 4'!$Q54:$U54, "&gt;0"), 1 / COUNT('regrets 4'!$Q54:$U54))</f>
        <v>0.5</v>
      </c>
      <c r="R54" s="60">
        <f>IF(SUMIF('regrets 4'!$Q54:$U54, "&gt;0") &gt; 0, MAX('regrets 4'!R54, 0) / SUMIF('regrets 4'!$Q54:$U54, "&gt;0"), 1 / COUNT('regrets 4'!$Q54:$U54))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IF(SUMIF('regrets 4'!$B55:$F55, "&gt;0") &gt; 0, MAX('regrets 4'!B55, 0) / SUMIF('regrets 4'!$B55:$F55, "&gt;0"), 1 / COUNT('regrets 4'!$B55:$F55))</f>
        <v>0</v>
      </c>
      <c r="C55" s="61">
        <f>IF(SUMIF('regrets 4'!$B55:$F55, "&gt;0") &gt; 0, MAX('regrets 4'!C55, 0) / SUMIF('regrets 4'!$B55:$F55, "&gt;0"), 1 / COUNT('regrets 4'!$B55:$F55))</f>
        <v>1</v>
      </c>
      <c r="D55" s="61">
        <f>IF(SUMIF('regrets 4'!$B55:$F55, "&gt;0") &gt; 0, MAX('regrets 4'!D55, 0) / SUMIF('regrets 4'!$B55:$F55, "&gt;0"), 1 / COUNT('regrets 4'!$B55:$F55))</f>
        <v>0</v>
      </c>
      <c r="E55" s="61"/>
      <c r="F55" s="90"/>
      <c r="G55" s="60">
        <f>IF(SUMIF('regrets 4'!$G55:$K55, "&gt;0") &gt; 0, MAX('regrets 4'!G55, 0) / SUMIF('regrets 4'!$G55:$K55, "&gt;0"), 1 / COUNT('regrets 4'!$G55:$K55))</f>
        <v>0.33333333333333331</v>
      </c>
      <c r="H55" s="60">
        <f>IF(SUMIF('regrets 4'!$G55:$K55, "&gt;0") &gt; 0, MAX('regrets 4'!H55, 0) / SUMIF('regrets 4'!$G55:$K55, "&gt;0"), 1 / COUNT('regrets 4'!$G55:$K55))</f>
        <v>0.33333333333333331</v>
      </c>
      <c r="I55" s="60">
        <f>IF(SUMIF('regrets 4'!$G55:$K55, "&gt;0") &gt; 0, MAX('regrets 4'!I55, 0) / SUMIF('regrets 4'!$G55:$K55, "&gt;0"), 1 / COUNT('regrets 4'!$G55:$K55))</f>
        <v>0.33333333333333331</v>
      </c>
      <c r="J55" s="61"/>
      <c r="K55" s="90"/>
      <c r="L55" s="60">
        <f>IF(SUMIF('regrets 4'!$L55:$P55, "&gt;0") &gt; 0, MAX('regrets 4'!L55, 0) / SUMIF('regrets 4'!$L55:$P55, "&gt;0"), 1 / COUNT('regrets 4'!$L55:$P55))</f>
        <v>0.33333333333333331</v>
      </c>
      <c r="M55" s="60">
        <f>IF(SUMIF('regrets 4'!$L55:$P55, "&gt;0") &gt; 0, MAX('regrets 4'!M55, 0) / SUMIF('regrets 4'!$L55:$P55, "&gt;0"), 1 / COUNT('regrets 4'!$L55:$P55))</f>
        <v>0.33333333333333331</v>
      </c>
      <c r="N55" s="60">
        <f>IF(SUMIF('regrets 4'!$L55:$P55, "&gt;0") &gt; 0, MAX('regrets 4'!N55, 0) / SUMIF('regrets 4'!$L55:$P55, "&gt;0"), 1 / COUNT('regrets 4'!$L55:$P55))</f>
        <v>0.33333333333333331</v>
      </c>
      <c r="O55" s="61"/>
      <c r="P55" s="90"/>
      <c r="Q55" s="60">
        <f>IF(SUMIF('regrets 4'!$Q55:$U55, "&gt;0") &gt; 0, MAX('regrets 4'!Q55, 0) / SUMIF('regrets 4'!$Q55:$U55, "&gt;0"), 1 / COUNT('regrets 4'!$Q55:$U55))</f>
        <v>0.33333333333333331</v>
      </c>
      <c r="R55" s="60">
        <f>IF(SUMIF('regrets 4'!$Q55:$U55, "&gt;0") &gt; 0, MAX('regrets 4'!R55, 0) / SUMIF('regrets 4'!$Q55:$U55, "&gt;0"), 1 / COUNT('regrets 4'!$Q55:$U55))</f>
        <v>0.33333333333333331</v>
      </c>
      <c r="S55" s="60">
        <f>IF(SUMIF('regrets 4'!$Q55:$U55, "&gt;0") &gt; 0, MAX('regrets 4'!S55, 0) / SUMIF('regrets 4'!$Q55:$U55, "&gt;0"), 1 / COUNT('regrets 4'!$Q55:$U55))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IF(SUMIF('regrets 4'!$B56:$F56, "&gt;0") &gt; 0, MAX('regrets 4'!B56, 0) / SUMIF('regrets 4'!$B56:$F56, "&gt;0"), 1 / COUNT('regrets 4'!$B56:$F56))</f>
        <v>0.5</v>
      </c>
      <c r="C56" s="61">
        <f>IF(SUMIF('regrets 4'!$B56:$F56, "&gt;0") &gt; 0, MAX('regrets 4'!C56, 0) / SUMIF('regrets 4'!$B56:$F56, "&gt;0"), 1 / COUNT('regrets 4'!$B56:$F56))</f>
        <v>0.5</v>
      </c>
      <c r="D56" s="61"/>
      <c r="E56" s="61"/>
      <c r="F56" s="90"/>
      <c r="G56" s="60">
        <f>IF(SUMIF('regrets 4'!$G56:$K56, "&gt;0") &gt; 0, MAX('regrets 4'!G56, 0) / SUMIF('regrets 4'!$G56:$K56, "&gt;0"), 1 / COUNT('regrets 4'!$G56:$K56))</f>
        <v>0.5</v>
      </c>
      <c r="H56" s="60">
        <f>IF(SUMIF('regrets 4'!$G56:$K56, "&gt;0") &gt; 0, MAX('regrets 4'!H56, 0) / SUMIF('regrets 4'!$G56:$K56, "&gt;0"), 1 / COUNT('regrets 4'!$G56:$K56))</f>
        <v>0.5</v>
      </c>
      <c r="I56" s="61"/>
      <c r="J56" s="61"/>
      <c r="K56" s="90"/>
      <c r="L56" s="60">
        <f>IF(SUMIF('regrets 4'!$L56:$P56, "&gt;0") &gt; 0, MAX('regrets 4'!L56, 0) / SUMIF('regrets 4'!$L56:$P56, "&gt;0"), 1 / COUNT('regrets 4'!$L56:$P56))</f>
        <v>0.5</v>
      </c>
      <c r="M56" s="60">
        <f>IF(SUMIF('regrets 4'!$L56:$P56, "&gt;0") &gt; 0, MAX('regrets 4'!M56, 0) / SUMIF('regrets 4'!$L56:$P56, "&gt;0"), 1 / COUNT('regrets 4'!$L56:$P56))</f>
        <v>0.5</v>
      </c>
      <c r="N56" s="61"/>
      <c r="O56" s="61"/>
      <c r="P56" s="90"/>
      <c r="Q56" s="60">
        <f>IF(SUMIF('regrets 4'!$Q56:$U56, "&gt;0") &gt; 0, MAX('regrets 4'!Q56, 0) / SUMIF('regrets 4'!$Q56:$U56, "&gt;0"), 1 / COUNT('regrets 4'!$Q56:$U56))</f>
        <v>0.5</v>
      </c>
      <c r="R56" s="60">
        <f>IF(SUMIF('regrets 4'!$Q56:$U56, "&gt;0") &gt; 0, MAX('regrets 4'!R56, 0) / SUMIF('regrets 4'!$Q56:$U56, "&gt;0"), 1 / COUNT('regrets 4'!$Q56:$U56))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IF(SUMIF('regrets 4'!$B57:$F57, "&gt;0") &gt; 0, MAX('regrets 4'!C57, 0) / SUMIF('regrets 4'!$B57:$F57, "&gt;0"), 1 / COUNT('regrets 4'!$B57:$F57))</f>
        <v>0.5</v>
      </c>
      <c r="D57" s="61">
        <f>IF(SUMIF('regrets 4'!$B57:$F57, "&gt;0") &gt; 0, MAX('regrets 4'!D57, 0) / SUMIF('regrets 4'!$B57:$F57, "&gt;0"), 1 / COUNT('regrets 4'!$B57:$F57))</f>
        <v>0.5</v>
      </c>
      <c r="E57" s="61"/>
      <c r="F57" s="90"/>
      <c r="G57" s="60"/>
      <c r="H57" s="60">
        <f>IF(SUMIF('regrets 4'!$G57:$K57, "&gt;0") &gt; 0, MAX('regrets 4'!H57, 0) / SUMIF('regrets 4'!$G57:$K57, "&gt;0"), 1 / COUNT('regrets 4'!$G57:$K57))</f>
        <v>0.5</v>
      </c>
      <c r="I57" s="60">
        <f>IF(SUMIF('regrets 4'!$G57:$K57, "&gt;0") &gt; 0, MAX('regrets 4'!I57, 0) / SUMIF('regrets 4'!$G57:$K57, "&gt;0"), 1 / COUNT('regrets 4'!$G57:$K57))</f>
        <v>0.5</v>
      </c>
      <c r="J57" s="61"/>
      <c r="K57" s="90"/>
      <c r="L57" s="60"/>
      <c r="M57" s="60">
        <f>IF(SUMIF('regrets 4'!$L57:$P57, "&gt;0") &gt; 0, MAX('regrets 4'!M57, 0) / SUMIF('regrets 4'!$L57:$P57, "&gt;0"), 1 / COUNT('regrets 4'!$L57:$P57))</f>
        <v>0.5</v>
      </c>
      <c r="N57" s="60">
        <f>IF(SUMIF('regrets 4'!$L57:$P57, "&gt;0") &gt; 0, MAX('regrets 4'!N57, 0) / SUMIF('regrets 4'!$L57:$P57, "&gt;0"), 1 / COUNT('regrets 4'!$L57:$P57))</f>
        <v>0.5</v>
      </c>
      <c r="O57" s="61"/>
      <c r="P57" s="90"/>
      <c r="Q57" s="60"/>
      <c r="R57" s="60">
        <f>IF(SUMIF('regrets 4'!$Q57:$U57, "&gt;0") &gt; 0, MAX('regrets 4'!R57, 0) / SUMIF('regrets 4'!$Q57:$U57, "&gt;0"), 1 / COUNT('regrets 4'!$Q57:$U57))</f>
        <v>0.5</v>
      </c>
      <c r="S57" s="60">
        <f>IF(SUMIF('regrets 4'!$Q57:$U57, "&gt;0") &gt; 0, MAX('regrets 4'!S57, 0) / SUMIF('regrets 4'!$Q57:$U57, "&gt;0"), 1 / COUNT('regrets 4'!$Q57:$U57))</f>
        <v>0.5</v>
      </c>
      <c r="T57" s="61"/>
      <c r="U57" s="90"/>
    </row>
    <row r="58" spans="1:21" ht="20" customHeight="1" x14ac:dyDescent="0.15">
      <c r="A58" s="12">
        <v>17</v>
      </c>
      <c r="B58" s="61">
        <f>IF(SUMIF('regrets 4'!$B58:$F58, "&gt;0") &gt; 0, MAX('regrets 4'!B58, 0) / SUMIF('regrets 4'!$B58:$F58, "&gt;0"), 1 / COUNT('regrets 4'!$B58:$F58))</f>
        <v>0.5</v>
      </c>
      <c r="C58" s="61">
        <f>IF(SUMIF('regrets 4'!$B58:$F58, "&gt;0") &gt; 0, MAX('regrets 4'!C58, 0) / SUMIF('regrets 4'!$B58:$F58, "&gt;0"), 1 / COUNT('regrets 4'!$B58:$F58))</f>
        <v>0.5</v>
      </c>
      <c r="D58" s="61"/>
      <c r="E58" s="61"/>
      <c r="F58" s="90"/>
      <c r="G58" s="60">
        <f>IF(SUMIF('regrets 4'!$G58:$K58, "&gt;0") &gt; 0, MAX('regrets 4'!G58, 0) / SUMIF('regrets 4'!$G58:$K58, "&gt;0"), 1 / COUNT('regrets 4'!$G58:$K58))</f>
        <v>0.5</v>
      </c>
      <c r="H58" s="60">
        <f>IF(SUMIF('regrets 4'!$G58:$K58, "&gt;0") &gt; 0, MAX('regrets 4'!H58, 0) / SUMIF('regrets 4'!$G58:$K58, "&gt;0"), 1 / COUNT('regrets 4'!$G58:$K58))</f>
        <v>0.5</v>
      </c>
      <c r="I58" s="61"/>
      <c r="J58" s="61"/>
      <c r="K58" s="90"/>
      <c r="L58" s="60">
        <f>IF(SUMIF('regrets 4'!$L58:$P58, "&gt;0") &gt; 0, MAX('regrets 4'!L58, 0) / SUMIF('regrets 4'!$L58:$P58, "&gt;0"), 1 / COUNT('regrets 4'!$L58:$P58))</f>
        <v>0.5</v>
      </c>
      <c r="M58" s="60">
        <f>IF(SUMIF('regrets 4'!$L58:$P58, "&gt;0") &gt; 0, MAX('regrets 4'!M58, 0) / SUMIF('regrets 4'!$L58:$P58, "&gt;0"), 1 / COUNT('regrets 4'!$L58:$P58))</f>
        <v>0.5</v>
      </c>
      <c r="N58" s="61"/>
      <c r="O58" s="61"/>
      <c r="P58" s="90"/>
      <c r="Q58" s="60">
        <f>IF(SUMIF('regrets 4'!$Q58:$U58, "&gt;0") &gt; 0, MAX('regrets 4'!Q58, 0) / SUMIF('regrets 4'!$Q58:$U58, "&gt;0"), 1 / COUNT('regrets 4'!$Q58:$U58))</f>
        <v>0.5</v>
      </c>
      <c r="R58" s="60">
        <f>IF(SUMIF('regrets 4'!$Q58:$U58, "&gt;0") &gt; 0, MAX('regrets 4'!R58, 0) / SUMIF('regrets 4'!$Q58:$U58, "&gt;0"), 1 / COUNT('regrets 4'!$Q58:$U58))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IF(SUMIF('regrets 4'!$B59:$F59, "&gt;0") &gt; 0, MAX('regrets 4'!B59, 0) / SUMIF('regrets 4'!$B59:$F59, "&gt;0"), 1 / COUNT('regrets 4'!$B59:$F59))</f>
        <v>0.5</v>
      </c>
      <c r="C59" s="61">
        <f>IF(SUMIF('regrets 4'!$B59:$F59, "&gt;0") &gt; 0, MAX('regrets 4'!C59, 0) / SUMIF('regrets 4'!$B59:$F59, "&gt;0"), 1 / COUNT('regrets 4'!$B59:$F59))</f>
        <v>0.5</v>
      </c>
      <c r="D59" s="61"/>
      <c r="E59" s="61"/>
      <c r="F59" s="90"/>
      <c r="G59" s="60">
        <f>IF(SUMIF('regrets 4'!$G59:$K59, "&gt;0") &gt; 0, MAX('regrets 4'!G59, 0) / SUMIF('regrets 4'!$G59:$K59, "&gt;0"), 1 / COUNT('regrets 4'!$G59:$K59))</f>
        <v>0.5</v>
      </c>
      <c r="H59" s="60">
        <f>IF(SUMIF('regrets 4'!$G59:$K59, "&gt;0") &gt; 0, MAX('regrets 4'!H59, 0) / SUMIF('regrets 4'!$G59:$K59, "&gt;0"), 1 / COUNT('regrets 4'!$G59:$K59))</f>
        <v>0.5</v>
      </c>
      <c r="I59" s="61"/>
      <c r="J59" s="61"/>
      <c r="K59" s="90"/>
      <c r="L59" s="60">
        <f>IF(SUMIF('regrets 4'!$L59:$P59, "&gt;0") &gt; 0, MAX('regrets 4'!L59, 0) / SUMIF('regrets 4'!$L59:$P59, "&gt;0"), 1 / COUNT('regrets 4'!$L59:$P59))</f>
        <v>0.5</v>
      </c>
      <c r="M59" s="60">
        <f>IF(SUMIF('regrets 4'!$L59:$P59, "&gt;0") &gt; 0, MAX('regrets 4'!M59, 0) / SUMIF('regrets 4'!$L59:$P59, "&gt;0"), 1 / COUNT('regrets 4'!$L59:$P59))</f>
        <v>0.5</v>
      </c>
      <c r="N59" s="61"/>
      <c r="O59" s="61"/>
      <c r="P59" s="90"/>
      <c r="Q59" s="60">
        <f>IF(SUMIF('regrets 4'!$Q59:$U59, "&gt;0") &gt; 0, MAX('regrets 4'!Q59, 0) / SUMIF('regrets 4'!$Q59:$U59, "&gt;0"), 1 / COUNT('regrets 4'!$Q59:$U59))</f>
        <v>0.5</v>
      </c>
      <c r="R59" s="60">
        <f>IF(SUMIF('regrets 4'!$Q59:$U59, "&gt;0") &gt; 0, MAX('regrets 4'!R59, 0) / SUMIF('regrets 4'!$Q59:$U59, "&gt;0"), 1 / COUNT('regrets 4'!$Q59:$U59))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IF(SUMIF('regrets 4'!$B60:$F60, "&gt;0") &gt; 0, MAX('regrets 4'!B60, 0) / SUMIF('regrets 4'!$B60:$F60, "&gt;0"), 1 / COUNT('regrets 4'!$B60:$F60))</f>
        <v>0.5</v>
      </c>
      <c r="C60" s="61">
        <f>IF(SUMIF('regrets 4'!$B60:$F60, "&gt;0") &gt; 0, MAX('regrets 4'!C60, 0) / SUMIF('regrets 4'!$B60:$F60, "&gt;0"), 1 / COUNT('regrets 4'!$B60:$F60))</f>
        <v>0.5</v>
      </c>
      <c r="D60" s="61"/>
      <c r="E60" s="61"/>
      <c r="F60" s="90"/>
      <c r="G60" s="60">
        <f>IF(SUMIF('regrets 4'!$G60:$K60, "&gt;0") &gt; 0, MAX('regrets 4'!G60, 0) / SUMIF('regrets 4'!$G60:$K60, "&gt;0"), 1 / COUNT('regrets 4'!$G60:$K60))</f>
        <v>0.5</v>
      </c>
      <c r="H60" s="60">
        <f>IF(SUMIF('regrets 4'!$G60:$K60, "&gt;0") &gt; 0, MAX('regrets 4'!H60, 0) / SUMIF('regrets 4'!$G60:$K60, "&gt;0"), 1 / COUNT('regrets 4'!$G60:$K60))</f>
        <v>0.5</v>
      </c>
      <c r="I60" s="61"/>
      <c r="J60" s="61"/>
      <c r="K60" s="90"/>
      <c r="L60" s="60">
        <f>IF(SUMIF('regrets 4'!$L60:$P60, "&gt;0") &gt; 0, MAX('regrets 4'!L60, 0) / SUMIF('regrets 4'!$L60:$P60, "&gt;0"), 1 / COUNT('regrets 4'!$L60:$P60))</f>
        <v>0.5</v>
      </c>
      <c r="M60" s="60">
        <f>IF(SUMIF('regrets 4'!$L60:$P60, "&gt;0") &gt; 0, MAX('regrets 4'!M60, 0) / SUMIF('regrets 4'!$L60:$P60, "&gt;0"), 1 / COUNT('regrets 4'!$L60:$P60))</f>
        <v>0.5</v>
      </c>
      <c r="N60" s="61"/>
      <c r="O60" s="61"/>
      <c r="P60" s="90"/>
      <c r="Q60" s="60">
        <f>IF(SUMIF('regrets 4'!$Q60:$U60, "&gt;0") &gt; 0, MAX('regrets 4'!Q60, 0) / SUMIF('regrets 4'!$Q60:$U60, "&gt;0"), 1 / COUNT('regrets 4'!$Q60:$U60))</f>
        <v>0.5</v>
      </c>
      <c r="R60" s="60">
        <f>IF(SUMIF('regrets 4'!$Q60:$U60, "&gt;0") &gt; 0, MAX('regrets 4'!R60, 0) / SUMIF('regrets 4'!$Q60:$U60, "&gt;0"), 1 / COUNT('regrets 4'!$Q60:$U60))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IF(SUMIF('regrets 4'!$B61:$F61, "&gt;0") &gt; 0, MAX('regrets 4'!C61, 0) / SUMIF('regrets 4'!$B61:$F61, "&gt;0"), 1 / COUNT('regrets 4'!$B61:$F61))</f>
        <v>0.5</v>
      </c>
      <c r="D61" s="61">
        <f>IF(SUMIF('regrets 4'!$B61:$F61, "&gt;0") &gt; 0, MAX('regrets 4'!D61, 0) / SUMIF('regrets 4'!$B61:$F61, "&gt;0"), 1 / COUNT('regrets 4'!$B61:$F61))</f>
        <v>0.5</v>
      </c>
      <c r="E61" s="61"/>
      <c r="F61" s="90"/>
      <c r="G61" s="60"/>
      <c r="H61" s="60">
        <f>IF(SUMIF('regrets 4'!$G61:$K61, "&gt;0") &gt; 0, MAX('regrets 4'!H61, 0) / SUMIF('regrets 4'!$G61:$K61, "&gt;0"), 1 / COUNT('regrets 4'!$G61:$K61))</f>
        <v>0.5</v>
      </c>
      <c r="I61" s="60">
        <f>IF(SUMIF('regrets 4'!$G61:$K61, "&gt;0") &gt; 0, MAX('regrets 4'!I61, 0) / SUMIF('regrets 4'!$G61:$K61, "&gt;0"), 1 / COUNT('regrets 4'!$G61:$K61))</f>
        <v>0.5</v>
      </c>
      <c r="J61" s="61"/>
      <c r="K61" s="90"/>
      <c r="L61" s="60"/>
      <c r="M61" s="60">
        <f>IF(SUMIF('regrets 4'!$L61:$P61, "&gt;0") &gt; 0, MAX('regrets 4'!M61, 0) / SUMIF('regrets 4'!$L61:$P61, "&gt;0"), 1 / COUNT('regrets 4'!$L61:$P61))</f>
        <v>0.5</v>
      </c>
      <c r="N61" s="60">
        <f>IF(SUMIF('regrets 4'!$L61:$P61, "&gt;0") &gt; 0, MAX('regrets 4'!N61, 0) / SUMIF('regrets 4'!$L61:$P61, "&gt;0"), 1 / COUNT('regrets 4'!$L61:$P61))</f>
        <v>0.5</v>
      </c>
      <c r="O61" s="61"/>
      <c r="P61" s="90"/>
      <c r="Q61" s="60"/>
      <c r="R61" s="60">
        <f>IF(SUMIF('regrets 4'!$Q61:$U61, "&gt;0") &gt; 0, MAX('regrets 4'!R61, 0) / SUMIF('regrets 4'!$Q61:$U61, "&gt;0"), 1 / COUNT('regrets 4'!$Q61:$U61))</f>
        <v>0.5</v>
      </c>
      <c r="S61" s="60">
        <f>IF(SUMIF('regrets 4'!$Q61:$U61, "&gt;0") &gt; 0, MAX('regrets 4'!S61, 0) / SUMIF('regrets 4'!$Q61:$U61, "&gt;0"), 1 / COUNT('regrets 4'!$Q61:$U61))</f>
        <v>0.5</v>
      </c>
      <c r="T61" s="61"/>
      <c r="U61" s="90"/>
    </row>
    <row r="62" spans="1:21" ht="20" customHeight="1" x14ac:dyDescent="0.15">
      <c r="A62" s="12">
        <v>21</v>
      </c>
      <c r="B62" s="61">
        <f>IF(SUMIF('regrets 4'!$B62:$F62, "&gt;0") &gt; 0, MAX('regrets 4'!B62, 0) / SUMIF('regrets 4'!$B62:$F62, "&gt;0"), 1 / COUNT('regrets 4'!$B62:$F62))</f>
        <v>0.5</v>
      </c>
      <c r="C62" s="61">
        <f>IF(SUMIF('regrets 4'!$B62:$F62, "&gt;0") &gt; 0, MAX('regrets 4'!C62, 0) / SUMIF('regrets 4'!$B62:$F62, "&gt;0"), 1 / COUNT('regrets 4'!$B62:$F62))</f>
        <v>0.5</v>
      </c>
      <c r="D62" s="61"/>
      <c r="E62" s="61"/>
      <c r="F62" s="90"/>
      <c r="G62" s="60">
        <f>IF(SUMIF('regrets 4'!$G62:$K62, "&gt;0") &gt; 0, MAX('regrets 4'!G62, 0) / SUMIF('regrets 4'!$G62:$K62, "&gt;0"), 1 / COUNT('regrets 4'!$G62:$K62))</f>
        <v>0.5</v>
      </c>
      <c r="H62" s="60">
        <f>IF(SUMIF('regrets 4'!$G62:$K62, "&gt;0") &gt; 0, MAX('regrets 4'!H62, 0) / SUMIF('regrets 4'!$G62:$K62, "&gt;0"), 1 / COUNT('regrets 4'!$G62:$K62))</f>
        <v>0.5</v>
      </c>
      <c r="I62" s="61"/>
      <c r="J62" s="61"/>
      <c r="K62" s="90"/>
      <c r="L62" s="60">
        <f>IF(SUMIF('regrets 4'!$L62:$P62, "&gt;0") &gt; 0, MAX('regrets 4'!L62, 0) / SUMIF('regrets 4'!$L62:$P62, "&gt;0"), 1 / COUNT('regrets 4'!$L62:$P62))</f>
        <v>0.5</v>
      </c>
      <c r="M62" s="60">
        <f>IF(SUMIF('regrets 4'!$L62:$P62, "&gt;0") &gt; 0, MAX('regrets 4'!M62, 0) / SUMIF('regrets 4'!$L62:$P62, "&gt;0"), 1 / COUNT('regrets 4'!$L62:$P62))</f>
        <v>0.5</v>
      </c>
      <c r="N62" s="61"/>
      <c r="O62" s="61"/>
      <c r="P62" s="90"/>
      <c r="Q62" s="60">
        <f>IF(SUMIF('regrets 4'!$Q62:$U62, "&gt;0") &gt; 0, MAX('regrets 4'!Q62, 0) / SUMIF('regrets 4'!$Q62:$U62, "&gt;0"), 1 / COUNT('regrets 4'!$Q62:$U62))</f>
        <v>0.5</v>
      </c>
      <c r="R62" s="60">
        <f>IF(SUMIF('regrets 4'!$Q62:$U62, "&gt;0") &gt; 0, MAX('regrets 4'!R62, 0) / SUMIF('regrets 4'!$Q62:$U62, "&gt;0"), 1 / COUNT('regrets 4'!$Q62:$U62))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IF(SUMIF('regrets 4'!$B63:$F63, "&gt;0") &gt; 0, MAX('regrets 4'!B63, 0) / SUMIF('regrets 4'!$B63:$F63, "&gt;0"), 1 / COUNT('regrets 4'!$B63:$F63))</f>
        <v>0.5</v>
      </c>
      <c r="C63" s="61">
        <f>IF(SUMIF('regrets 4'!$B63:$F63, "&gt;0") &gt; 0, MAX('regrets 4'!C63, 0) / SUMIF('regrets 4'!$B63:$F63, "&gt;0"), 1 / COUNT('regrets 4'!$B63:$F63))</f>
        <v>0.5</v>
      </c>
      <c r="D63" s="61"/>
      <c r="E63" s="61"/>
      <c r="F63" s="90"/>
      <c r="G63" s="60">
        <f>IF(SUMIF('regrets 4'!$G63:$K63, "&gt;0") &gt; 0, MAX('regrets 4'!G63, 0) / SUMIF('regrets 4'!$G63:$K63, "&gt;0"), 1 / COUNT('regrets 4'!$G63:$K63))</f>
        <v>0.5</v>
      </c>
      <c r="H63" s="60">
        <f>IF(SUMIF('regrets 4'!$G63:$K63, "&gt;0") &gt; 0, MAX('regrets 4'!H63, 0) / SUMIF('regrets 4'!$G63:$K63, "&gt;0"), 1 / COUNT('regrets 4'!$G63:$K63))</f>
        <v>0.5</v>
      </c>
      <c r="I63" s="61"/>
      <c r="J63" s="61"/>
      <c r="K63" s="90"/>
      <c r="L63" s="60">
        <f>IF(SUMIF('regrets 4'!$L63:$P63, "&gt;0") &gt; 0, MAX('regrets 4'!L63, 0) / SUMIF('regrets 4'!$L63:$P63, "&gt;0"), 1 / COUNT('regrets 4'!$L63:$P63))</f>
        <v>0.5</v>
      </c>
      <c r="M63" s="60">
        <f>IF(SUMIF('regrets 4'!$L63:$P63, "&gt;0") &gt; 0, MAX('regrets 4'!M63, 0) / SUMIF('regrets 4'!$L63:$P63, "&gt;0"), 1 / COUNT('regrets 4'!$L63:$P63))</f>
        <v>0.5</v>
      </c>
      <c r="N63" s="61"/>
      <c r="O63" s="61"/>
      <c r="P63" s="90"/>
      <c r="Q63" s="60">
        <f>IF(SUMIF('regrets 4'!$Q63:$U63, "&gt;0") &gt; 0, MAX('regrets 4'!Q63, 0) / SUMIF('regrets 4'!$Q63:$U63, "&gt;0"), 1 / COUNT('regrets 4'!$Q63:$U63))</f>
        <v>0.5</v>
      </c>
      <c r="R63" s="60">
        <f>IF(SUMIF('regrets 4'!$Q63:$U63, "&gt;0") &gt; 0, MAX('regrets 4'!R63, 0) / SUMIF('regrets 4'!$Q63:$U63, "&gt;0"), 1 / COUNT('regrets 4'!$Q63:$U63))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IF(SUMIF('regrets 4'!$B64:$F64, "&gt;0") &gt; 0, MAX('regrets 4'!B64, 0) / SUMIF('regrets 4'!$B64:$F64, "&gt;0"), 1 / COUNT('regrets 4'!$B64:$F64))</f>
        <v>0.5</v>
      </c>
      <c r="C64" s="61">
        <f>IF(SUMIF('regrets 4'!$B64:$F64, "&gt;0") &gt; 0, MAX('regrets 4'!C64, 0) / SUMIF('regrets 4'!$B64:$F64, "&gt;0"), 1 / COUNT('regrets 4'!$B64:$F64))</f>
        <v>0.5</v>
      </c>
      <c r="D64" s="61"/>
      <c r="E64" s="61"/>
      <c r="F64" s="90"/>
      <c r="G64" s="60">
        <f>IF(SUMIF('regrets 4'!$G64:$K64, "&gt;0") &gt; 0, MAX('regrets 4'!G64, 0) / SUMIF('regrets 4'!$G64:$K64, "&gt;0"), 1 / COUNT('regrets 4'!$G64:$K64))</f>
        <v>0.5</v>
      </c>
      <c r="H64" s="60">
        <f>IF(SUMIF('regrets 4'!$G64:$K64, "&gt;0") &gt; 0, MAX('regrets 4'!H64, 0) / SUMIF('regrets 4'!$G64:$K64, "&gt;0"), 1 / COUNT('regrets 4'!$G64:$K64))</f>
        <v>0.5</v>
      </c>
      <c r="I64" s="61"/>
      <c r="J64" s="61"/>
      <c r="K64" s="90"/>
      <c r="L64" s="60">
        <f>IF(SUMIF('regrets 4'!$L64:$P64, "&gt;0") &gt; 0, MAX('regrets 4'!L64, 0) / SUMIF('regrets 4'!$L64:$P64, "&gt;0"), 1 / COUNT('regrets 4'!$L64:$P64))</f>
        <v>0.5</v>
      </c>
      <c r="M64" s="60">
        <f>IF(SUMIF('regrets 4'!$L64:$P64, "&gt;0") &gt; 0, MAX('regrets 4'!M64, 0) / SUMIF('regrets 4'!$L64:$P64, "&gt;0"), 1 / COUNT('regrets 4'!$L64:$P64))</f>
        <v>0.5</v>
      </c>
      <c r="N64" s="61"/>
      <c r="O64" s="61"/>
      <c r="P64" s="90"/>
      <c r="Q64" s="60">
        <f>IF(SUMIF('regrets 4'!$Q64:$U64, "&gt;0") &gt; 0, MAX('regrets 4'!Q64, 0) / SUMIF('regrets 4'!$Q64:$U64, "&gt;0"), 1 / COUNT('regrets 4'!$Q64:$U64))</f>
        <v>0.5</v>
      </c>
      <c r="R64" s="60">
        <f>IF(SUMIF('regrets 4'!$Q64:$U64, "&gt;0") &gt; 0, MAX('regrets 4'!R64, 0) / SUMIF('regrets 4'!$Q64:$U64, "&gt;0"), 1 / COUNT('regrets 4'!$Q64:$U64))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IF(SUMIF('regrets 4'!$B65:$F65, "&gt;0") &gt; 0, MAX('regrets 4'!C65, 0) / SUMIF('regrets 4'!$B65:$F65, "&gt;0"), 1 / COUNT('regrets 4'!$B65:$F65))</f>
        <v>0.5</v>
      </c>
      <c r="D65" s="61">
        <f>IF(SUMIF('regrets 4'!$B65:$F65, "&gt;0") &gt; 0, MAX('regrets 4'!D65, 0) / SUMIF('regrets 4'!$B65:$F65, "&gt;0"), 1 / COUNT('regrets 4'!$B65:$F65))</f>
        <v>0.5</v>
      </c>
      <c r="E65" s="61"/>
      <c r="F65" s="90"/>
      <c r="G65" s="60"/>
      <c r="H65" s="60">
        <f>IF(SUMIF('regrets 4'!$G65:$K65, "&gt;0") &gt; 0, MAX('regrets 4'!H65, 0) / SUMIF('regrets 4'!$G65:$K65, "&gt;0"), 1 / COUNT('regrets 4'!$G65:$K65))</f>
        <v>0.5</v>
      </c>
      <c r="I65" s="60">
        <f>IF(SUMIF('regrets 4'!$G65:$K65, "&gt;0") &gt; 0, MAX('regrets 4'!I65, 0) / SUMIF('regrets 4'!$G65:$K65, "&gt;0"), 1 / COUNT('regrets 4'!$G65:$K65))</f>
        <v>0.5</v>
      </c>
      <c r="J65" s="61"/>
      <c r="K65" s="90"/>
      <c r="L65" s="60"/>
      <c r="M65" s="60">
        <f>IF(SUMIF('regrets 4'!$L65:$P65, "&gt;0") &gt; 0, MAX('regrets 4'!M65, 0) / SUMIF('regrets 4'!$L65:$P65, "&gt;0"), 1 / COUNT('regrets 4'!$L65:$P65))</f>
        <v>0.5</v>
      </c>
      <c r="N65" s="60">
        <f>IF(SUMIF('regrets 4'!$L65:$P65, "&gt;0") &gt; 0, MAX('regrets 4'!N65, 0) / SUMIF('regrets 4'!$L65:$P65, "&gt;0"), 1 / COUNT('regrets 4'!$L65:$P65))</f>
        <v>0.5</v>
      </c>
      <c r="O65" s="61"/>
      <c r="P65" s="90"/>
      <c r="Q65" s="60"/>
      <c r="R65" s="60">
        <f>IF(SUMIF('regrets 4'!$Q65:$U65, "&gt;0") &gt; 0, MAX('regrets 4'!R65, 0) / SUMIF('regrets 4'!$Q65:$U65, "&gt;0"), 1 / COUNT('regrets 4'!$Q65:$U65))</f>
        <v>0.5</v>
      </c>
      <c r="S65" s="60">
        <f>IF(SUMIF('regrets 4'!$Q65:$U65, "&gt;0") &gt; 0, MAX('regrets 4'!S65, 0) / SUMIF('regrets 4'!$Q65:$U65, "&gt;0"), 1 / COUNT('regrets 4'!$Q65:$U65))</f>
        <v>0.5</v>
      </c>
      <c r="T65" s="61"/>
      <c r="U65" s="90"/>
    </row>
    <row r="66" spans="1:21" ht="20" customHeight="1" x14ac:dyDescent="0.15">
      <c r="A66" s="12">
        <v>25</v>
      </c>
      <c r="B66" s="61">
        <f>IF(SUMIF('regrets 4'!$B66:$F66, "&gt;0") &gt; 0, MAX('regrets 4'!B66, 0) / SUMIF('regrets 4'!$B66:$F66, "&gt;0"), 1 / COUNT('regrets 4'!$B66:$F66))</f>
        <v>0.5</v>
      </c>
      <c r="C66" s="61">
        <f>IF(SUMIF('regrets 4'!$B66:$F66, "&gt;0") &gt; 0, MAX('regrets 4'!C66, 0) / SUMIF('regrets 4'!$B66:$F66, "&gt;0"), 1 / COUNT('regrets 4'!$B66:$F66))</f>
        <v>0.5</v>
      </c>
      <c r="D66" s="61"/>
      <c r="E66" s="61"/>
      <c r="F66" s="90"/>
      <c r="G66" s="60">
        <f>IF(SUMIF('regrets 4'!$G66:$K66, "&gt;0") &gt; 0, MAX('regrets 4'!G66, 0) / SUMIF('regrets 4'!$G66:$K66, "&gt;0"), 1 / COUNT('regrets 4'!$G66:$K66))</f>
        <v>0.5</v>
      </c>
      <c r="H66" s="60">
        <f>IF(SUMIF('regrets 4'!$G66:$K66, "&gt;0") &gt; 0, MAX('regrets 4'!H66, 0) / SUMIF('regrets 4'!$G66:$K66, "&gt;0"), 1 / COUNT('regrets 4'!$G66:$K66))</f>
        <v>0.5</v>
      </c>
      <c r="I66" s="61"/>
      <c r="J66" s="61"/>
      <c r="K66" s="90"/>
      <c r="L66" s="60">
        <f>IF(SUMIF('regrets 4'!$L66:$P66, "&gt;0") &gt; 0, MAX('regrets 4'!L66, 0) / SUMIF('regrets 4'!$L66:$P66, "&gt;0"), 1 / COUNT('regrets 4'!$L66:$P66))</f>
        <v>0.5</v>
      </c>
      <c r="M66" s="60">
        <f>IF(SUMIF('regrets 4'!$L66:$P66, "&gt;0") &gt; 0, MAX('regrets 4'!M66, 0) / SUMIF('regrets 4'!$L66:$P66, "&gt;0"), 1 / COUNT('regrets 4'!$L66:$P66))</f>
        <v>0.5</v>
      </c>
      <c r="N66" s="61"/>
      <c r="O66" s="61"/>
      <c r="P66" s="90"/>
      <c r="Q66" s="60">
        <f>IF(SUMIF('regrets 4'!$Q66:$U66, "&gt;0") &gt; 0, MAX('regrets 4'!Q66, 0) / SUMIF('regrets 4'!$Q66:$U66, "&gt;0"), 1 / COUNT('regrets 4'!$Q66:$U66))</f>
        <v>0.5</v>
      </c>
      <c r="R66" s="60">
        <f>IF(SUMIF('regrets 4'!$Q66:$U66, "&gt;0") &gt; 0, MAX('regrets 4'!R66, 0) / SUMIF('regrets 4'!$Q66:$U66, "&gt;0"), 1 / COUNT('regrets 4'!$Q66:$U66))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IF(SUMIF('regrets 4'!$B67:$F67, "&gt;0") &gt; 0, MAX('regrets 4'!B67, 0) / SUMIF('regrets 4'!$B67:$F67, "&gt;0"), 1 / COUNT('regrets 4'!$B67:$F67))</f>
        <v>0.5</v>
      </c>
      <c r="C67" s="61">
        <f>IF(SUMIF('regrets 4'!$B67:$F67, "&gt;0") &gt; 0, MAX('regrets 4'!C67, 0) / SUMIF('regrets 4'!$B67:$F67, "&gt;0"), 1 / COUNT('regrets 4'!$B67:$F67))</f>
        <v>0.5</v>
      </c>
      <c r="D67" s="61"/>
      <c r="E67" s="61"/>
      <c r="F67" s="90"/>
      <c r="G67" s="60">
        <f>IF(SUMIF('regrets 4'!$G67:$K67, "&gt;0") &gt; 0, MAX('regrets 4'!G67, 0) / SUMIF('regrets 4'!$G67:$K67, "&gt;0"), 1 / COUNT('regrets 4'!$G67:$K67))</f>
        <v>0.5</v>
      </c>
      <c r="H67" s="60">
        <f>IF(SUMIF('regrets 4'!$G67:$K67, "&gt;0") &gt; 0, MAX('regrets 4'!H67, 0) / SUMIF('regrets 4'!$G67:$K67, "&gt;0"), 1 / COUNT('regrets 4'!$G67:$K67))</f>
        <v>0.5</v>
      </c>
      <c r="I67" s="61"/>
      <c r="J67" s="61"/>
      <c r="K67" s="90"/>
      <c r="L67" s="60">
        <f>IF(SUMIF('regrets 4'!$L67:$P67, "&gt;0") &gt; 0, MAX('regrets 4'!L67, 0) / SUMIF('regrets 4'!$L67:$P67, "&gt;0"), 1 / COUNT('regrets 4'!$L67:$P67))</f>
        <v>0.5</v>
      </c>
      <c r="M67" s="60">
        <f>IF(SUMIF('regrets 4'!$L67:$P67, "&gt;0") &gt; 0, MAX('regrets 4'!M67, 0) / SUMIF('regrets 4'!$L67:$P67, "&gt;0"), 1 / COUNT('regrets 4'!$L67:$P67))</f>
        <v>0.5</v>
      </c>
      <c r="N67" s="61"/>
      <c r="O67" s="61"/>
      <c r="P67" s="90"/>
      <c r="Q67" s="60">
        <f>IF(SUMIF('regrets 4'!$Q67:$U67, "&gt;0") &gt; 0, MAX('regrets 4'!Q67, 0) / SUMIF('regrets 4'!$Q67:$U67, "&gt;0"), 1 / COUNT('regrets 4'!$Q67:$U67))</f>
        <v>0.5</v>
      </c>
      <c r="R67" s="60">
        <f>IF(SUMIF('regrets 4'!$Q67:$U67, "&gt;0") &gt; 0, MAX('regrets 4'!R67, 0) / SUMIF('regrets 4'!$Q67:$U67, "&gt;0"), 1 / COUNT('regrets 4'!$Q67:$U67))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IF(SUMIF('regrets 4'!$B68:$F68, "&gt;0") &gt; 0, MAX('regrets 4'!B68, 0) / SUMIF('regrets 4'!$B68:$F68, "&gt;0"), 1 / COUNT('regrets 4'!$B68:$F68))</f>
        <v>0.5</v>
      </c>
      <c r="C68" s="61">
        <f>IF(SUMIF('regrets 4'!$B68:$F68, "&gt;0") &gt; 0, MAX('regrets 4'!C68, 0) / SUMIF('regrets 4'!$B68:$F68, "&gt;0"), 1 / COUNT('regrets 4'!$B68:$F68))</f>
        <v>0.5</v>
      </c>
      <c r="D68" s="83"/>
      <c r="E68" s="83"/>
      <c r="F68" s="94"/>
      <c r="G68" s="60">
        <f>IF(SUMIF('regrets 4'!$G68:$K68, "&gt;0") &gt; 0, MAX('regrets 4'!G68, 0) / SUMIF('regrets 4'!$G68:$K68, "&gt;0"), 1 / COUNT('regrets 4'!$G68:$K68))</f>
        <v>0.5</v>
      </c>
      <c r="H68" s="60">
        <f>IF(SUMIF('regrets 4'!$G68:$K68, "&gt;0") &gt; 0, MAX('regrets 4'!H68, 0) / SUMIF('regrets 4'!$G68:$K68, "&gt;0"), 1 / COUNT('regrets 4'!$G68:$K68))</f>
        <v>0.5</v>
      </c>
      <c r="I68" s="83"/>
      <c r="J68" s="83"/>
      <c r="K68" s="94"/>
      <c r="L68" s="60">
        <f>IF(SUMIF('regrets 4'!$L68:$P68, "&gt;0") &gt; 0, MAX('regrets 4'!L68, 0) / SUMIF('regrets 4'!$L68:$P68, "&gt;0"), 1 / COUNT('regrets 4'!$L68:$P68))</f>
        <v>0.5</v>
      </c>
      <c r="M68" s="60">
        <f>IF(SUMIF('regrets 4'!$L68:$P68, "&gt;0") &gt; 0, MAX('regrets 4'!M68, 0) / SUMIF('regrets 4'!$L68:$P68, "&gt;0"), 1 / COUNT('regrets 4'!$L68:$P68))</f>
        <v>0.5</v>
      </c>
      <c r="N68" s="83"/>
      <c r="O68" s="83"/>
      <c r="P68" s="94"/>
      <c r="Q68" s="60">
        <f>IF(SUMIF('regrets 4'!$Q68:$U68, "&gt;0") &gt; 0, MAX('regrets 4'!Q68, 0) / SUMIF('regrets 4'!$Q68:$U68, "&gt;0"), 1 / COUNT('regrets 4'!$Q68:$U68))</f>
        <v>0.5</v>
      </c>
      <c r="R68" s="60">
        <f>IF(SUMIF('regrets 4'!$Q68:$U68, "&gt;0") &gt; 0, MAX('regrets 4'!R68, 0) / SUMIF('regrets 4'!$Q68:$U68, "&gt;0"), 1 / COUNT('regrets 4'!$Q68:$U68))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IF(SUMIF('regrets 4'!$B69:$F69, "&gt;0") &gt; 0, MAX('regrets 4'!C69, 0) / SUMIF('regrets 4'!$B69:$F69, "&gt;0"), 1 / COUNT('regrets 4'!$B69:$F69))</f>
        <v>0.5</v>
      </c>
      <c r="D69" s="68">
        <f>IF(SUMIF('regrets 4'!$B69:$F69, "&gt;0") &gt; 0, MAX('regrets 4'!D69, 0) / SUMIF('regrets 4'!$B69:$F69, "&gt;0"), 1 / COUNT('regrets 4'!$B69:$F69))</f>
        <v>0.5</v>
      </c>
      <c r="E69" s="67"/>
      <c r="F69" s="86"/>
      <c r="G69" s="87"/>
      <c r="H69" s="68">
        <f>IF(SUMIF('regrets 4'!$G69:$K69, "&gt;0") &gt; 0, MAX('regrets 4'!H69, 0) / SUMIF('regrets 4'!$G69:$K69, "&gt;0"), 1 / COUNT('regrets 4'!$G69:$K69))</f>
        <v>0.5</v>
      </c>
      <c r="I69" s="68">
        <f>IF(SUMIF('regrets 4'!$G69:$K69, "&gt;0") &gt; 0, MAX('regrets 4'!I69, 0) / SUMIF('regrets 4'!$G69:$K69, "&gt;0"), 1 / COUNT('regrets 4'!$G69:$K69))</f>
        <v>0.5</v>
      </c>
      <c r="J69" s="67"/>
      <c r="K69" s="86"/>
      <c r="L69" s="87"/>
      <c r="M69" s="68">
        <f>IF(SUMIF('regrets 4'!$L69:$P69, "&gt;0") &gt; 0, MAX('regrets 4'!M69, 0) / SUMIF('regrets 4'!$L69:$P69, "&gt;0"), 1 / COUNT('regrets 4'!$L69:$P69))</f>
        <v>0.5</v>
      </c>
      <c r="N69" s="68">
        <f>IF(SUMIF('regrets 4'!$L69:$P69, "&gt;0") &gt; 0, MAX('regrets 4'!N69, 0) / SUMIF('regrets 4'!$L69:$P69, "&gt;0"), 1 / COUNT('regrets 4'!$L69:$P69))</f>
        <v>0.5</v>
      </c>
      <c r="O69" s="67"/>
      <c r="P69" s="86"/>
      <c r="Q69" s="87"/>
      <c r="R69" s="68">
        <f>IF(SUMIF('regrets 4'!$Q69:$U69, "&gt;0") &gt; 0, MAX('regrets 4'!R69, 0) / SUMIF('regrets 4'!$Q69:$U69, "&gt;0"), 1 / COUNT('regrets 4'!$Q69:$U69))</f>
        <v>0.5</v>
      </c>
      <c r="S69" s="68">
        <f>IF(SUMIF('regrets 4'!$Q69:$U69, "&gt;0") &gt; 0, MAX('regrets 4'!S69, 0) / SUMIF('regrets 4'!$Q69:$U69, "&gt;0"), 1 / COUNT('regrets 4'!$Q69:$U69))</f>
        <v>0.5</v>
      </c>
      <c r="T69" s="67"/>
      <c r="U69" s="86"/>
    </row>
    <row r="70" spans="1:21" ht="20" customHeight="1" x14ac:dyDescent="0.15">
      <c r="A70" s="12">
        <v>1</v>
      </c>
      <c r="B70" s="61">
        <f>IF(SUMIF('regrets 4'!$B70:$F70, "&gt;0") &gt; 0, MAX('regrets 4'!B70, 0) / SUMIF('regrets 4'!$B70:$F70, "&gt;0"), 1 / COUNT('regrets 4'!$B70:$F70))</f>
        <v>0.5</v>
      </c>
      <c r="C70" s="61">
        <f>IF(SUMIF('regrets 4'!$B70:$F70, "&gt;0") &gt; 0, MAX('regrets 4'!C70, 0) / SUMIF('regrets 4'!$B70:$F70, "&gt;0"), 1 / COUNT('regrets 4'!$B70:$F70))</f>
        <v>0.5</v>
      </c>
      <c r="D70" s="61"/>
      <c r="E70" s="62"/>
      <c r="F70" s="90"/>
      <c r="G70" s="60">
        <f>IF(SUMIF('regrets 4'!$G70:$K70, "&gt;0") &gt; 0, MAX('regrets 4'!G70, 0) / SUMIF('regrets 4'!$G70:$K70, "&gt;0"), 1 / COUNT('regrets 4'!$G70:$K70))</f>
        <v>0.5</v>
      </c>
      <c r="H70" s="60">
        <f>IF(SUMIF('regrets 4'!$G70:$K70, "&gt;0") &gt; 0, MAX('regrets 4'!H70, 0) / SUMIF('regrets 4'!$G70:$K70, "&gt;0"), 1 / COUNT('regrets 4'!$G70:$K70))</f>
        <v>0.5</v>
      </c>
      <c r="I70" s="61"/>
      <c r="J70" s="62"/>
      <c r="K70" s="90"/>
      <c r="L70" s="60">
        <f>IF(SUMIF('regrets 4'!$L70:$P70, "&gt;0") &gt; 0, MAX('regrets 4'!L70, 0) / SUMIF('regrets 4'!$L70:$P70, "&gt;0"), 1 / COUNT('regrets 4'!$L70:$P70))</f>
        <v>0.5</v>
      </c>
      <c r="M70" s="60">
        <f>IF(SUMIF('regrets 4'!$L70:$P70, "&gt;0") &gt; 0, MAX('regrets 4'!M70, 0) / SUMIF('regrets 4'!$L70:$P70, "&gt;0"), 1 / COUNT('regrets 4'!$L70:$P70))</f>
        <v>0.5</v>
      </c>
      <c r="N70" s="61"/>
      <c r="O70" s="62"/>
      <c r="P70" s="90"/>
      <c r="Q70" s="60">
        <f>IF(SUMIF('regrets 4'!$Q70:$U70, "&gt;0") &gt; 0, MAX('regrets 4'!Q70, 0) / SUMIF('regrets 4'!$Q70:$U70, "&gt;0"), 1 / COUNT('regrets 4'!$Q70:$U70))</f>
        <v>0.5</v>
      </c>
      <c r="R70" s="60">
        <f>IF(SUMIF('regrets 4'!$Q70:$U70, "&gt;0") &gt; 0, MAX('regrets 4'!R70, 0) / SUMIF('regrets 4'!$Q70:$U70, "&gt;0"), 1 / COUNT('regrets 4'!$Q70:$U70))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IF(SUMIF('regrets 4'!$B71:$F71, "&gt;0") &gt; 0, MAX('regrets 4'!C71, 0) / SUMIF('regrets 4'!$B71:$F71, "&gt;0"), 1 / COUNT('regrets 4'!$B71:$F71))</f>
        <v>0.5</v>
      </c>
      <c r="D71" s="61">
        <f>IF(SUMIF('regrets 4'!$B71:$F71, "&gt;0") &gt; 0, MAX('regrets 4'!D71, 0) / SUMIF('regrets 4'!$B71:$F71, "&gt;0"), 1 / COUNT('regrets 4'!$B71:$F71))</f>
        <v>0.5</v>
      </c>
      <c r="E71" s="62"/>
      <c r="F71" s="90"/>
      <c r="G71" s="60"/>
      <c r="H71" s="60">
        <f>IF(SUMIF('regrets 4'!$G71:$K71, "&gt;0") &gt; 0, MAX('regrets 4'!H71, 0) / SUMIF('regrets 4'!$G71:$K71, "&gt;0"), 1 / COUNT('regrets 4'!$G71:$K71))</f>
        <v>0.5</v>
      </c>
      <c r="I71" s="60">
        <f>IF(SUMIF('regrets 4'!$G71:$K71, "&gt;0") &gt; 0, MAX('regrets 4'!I71, 0) / SUMIF('regrets 4'!$G71:$K71, "&gt;0"), 1 / COUNT('regrets 4'!$G71:$K71))</f>
        <v>0.5</v>
      </c>
      <c r="J71" s="62"/>
      <c r="K71" s="90"/>
      <c r="L71" s="60"/>
      <c r="M71" s="60">
        <f>IF(SUMIF('regrets 4'!$L71:$P71, "&gt;0") &gt; 0, MAX('regrets 4'!M71, 0) / SUMIF('regrets 4'!$L71:$P71, "&gt;0"), 1 / COUNT('regrets 4'!$L71:$P71))</f>
        <v>0.5</v>
      </c>
      <c r="N71" s="60">
        <f>IF(SUMIF('regrets 4'!$L71:$P71, "&gt;0") &gt; 0, MAX('regrets 4'!N71, 0) / SUMIF('regrets 4'!$L71:$P71, "&gt;0"), 1 / COUNT('regrets 4'!$L71:$P71))</f>
        <v>0.5</v>
      </c>
      <c r="O71" s="62"/>
      <c r="P71" s="90"/>
      <c r="Q71" s="60"/>
      <c r="R71" s="60">
        <f>IF(SUMIF('regrets 4'!$Q71:$U71, "&gt;0") &gt; 0, MAX('regrets 4'!R71, 0) / SUMIF('regrets 4'!$Q71:$U71, "&gt;0"), 1 / COUNT('regrets 4'!$Q71:$U71))</f>
        <v>0.5</v>
      </c>
      <c r="S71" s="60">
        <f>IF(SUMIF('regrets 4'!$Q71:$U71, "&gt;0") &gt; 0, MAX('regrets 4'!S71, 0) / SUMIF('regrets 4'!$Q71:$U71, "&gt;0"), 1 / COUNT('regrets 4'!$Q71:$U71))</f>
        <v>0.5</v>
      </c>
      <c r="T71" s="62"/>
      <c r="U71" s="90"/>
    </row>
    <row r="72" spans="1:21" ht="20" customHeight="1" x14ac:dyDescent="0.15">
      <c r="A72" s="12">
        <v>3</v>
      </c>
      <c r="B72" s="61">
        <f>IF(SUMIF('regrets 4'!$B72:$F72, "&gt;0") &gt; 0, MAX('regrets 4'!B72, 0) / SUMIF('regrets 4'!$B72:$F72, "&gt;0"), 1 / COUNT('regrets 4'!$B72:$F72))</f>
        <v>0.5</v>
      </c>
      <c r="C72" s="61">
        <f>IF(SUMIF('regrets 4'!$B72:$F72, "&gt;0") &gt; 0, MAX('regrets 4'!C72, 0) / SUMIF('regrets 4'!$B72:$F72, "&gt;0"), 1 / COUNT('regrets 4'!$B72:$F72))</f>
        <v>0.5</v>
      </c>
      <c r="D72" s="61"/>
      <c r="E72" s="62"/>
      <c r="F72" s="90"/>
      <c r="G72" s="60">
        <f>IF(SUMIF('regrets 4'!$G72:$K72, "&gt;0") &gt; 0, MAX('regrets 4'!G72, 0) / SUMIF('regrets 4'!$G72:$K72, "&gt;0"), 1 / COUNT('regrets 4'!$G72:$K72))</f>
        <v>0.5</v>
      </c>
      <c r="H72" s="60">
        <f>IF(SUMIF('regrets 4'!$G72:$K72, "&gt;0") &gt; 0, MAX('regrets 4'!H72, 0) / SUMIF('regrets 4'!$G72:$K72, "&gt;0"), 1 / COUNT('regrets 4'!$G72:$K72))</f>
        <v>0.5</v>
      </c>
      <c r="I72" s="61"/>
      <c r="J72" s="62"/>
      <c r="K72" s="90"/>
      <c r="L72" s="60">
        <f>IF(SUMIF('regrets 4'!$L72:$P72, "&gt;0") &gt; 0, MAX('regrets 4'!L72, 0) / SUMIF('regrets 4'!$L72:$P72, "&gt;0"), 1 / COUNT('regrets 4'!$L72:$P72))</f>
        <v>0.5</v>
      </c>
      <c r="M72" s="60">
        <f>IF(SUMIF('regrets 4'!$L72:$P72, "&gt;0") &gt; 0, MAX('regrets 4'!M72, 0) / SUMIF('regrets 4'!$L72:$P72, "&gt;0"), 1 / COUNT('regrets 4'!$L72:$P72))</f>
        <v>0.5</v>
      </c>
      <c r="N72" s="61"/>
      <c r="O72" s="62"/>
      <c r="P72" s="90"/>
      <c r="Q72" s="60">
        <f>IF(SUMIF('regrets 4'!$Q72:$U72, "&gt;0") &gt; 0, MAX('regrets 4'!Q72, 0) / SUMIF('regrets 4'!$Q72:$U72, "&gt;0"), 1 / COUNT('regrets 4'!$Q72:$U72))</f>
        <v>0.5</v>
      </c>
      <c r="R72" s="60">
        <f>IF(SUMIF('regrets 4'!$Q72:$U72, "&gt;0") &gt; 0, MAX('regrets 4'!R72, 0) / SUMIF('regrets 4'!$Q72:$U72, "&gt;0"), 1 / COUNT('regrets 4'!$Q72:$U72))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IF(SUMIF('regrets 4'!$B73:$F73, "&gt;0") &gt; 0, MAX('regrets 4'!C73, 0) / SUMIF('regrets 4'!$B73:$F73, "&gt;0"), 1 / COUNT('regrets 4'!$B73:$F73))</f>
        <v>0.5</v>
      </c>
      <c r="D73" s="61">
        <f>IF(SUMIF('regrets 4'!$B73:$F73, "&gt;0") &gt; 0, MAX('regrets 4'!D73, 0) / SUMIF('regrets 4'!$B73:$F73, "&gt;0"), 1 / COUNT('regrets 4'!$B73:$F73))</f>
        <v>0.5</v>
      </c>
      <c r="E73" s="62"/>
      <c r="F73" s="90"/>
      <c r="G73" s="60"/>
      <c r="H73" s="60">
        <f>IF(SUMIF('regrets 4'!$G73:$K73, "&gt;0") &gt; 0, MAX('regrets 4'!H73, 0) / SUMIF('regrets 4'!$G73:$K73, "&gt;0"), 1 / COUNT('regrets 4'!$G73:$K73))</f>
        <v>0.5</v>
      </c>
      <c r="I73" s="60">
        <f>IF(SUMIF('regrets 4'!$G73:$K73, "&gt;0") &gt; 0, MAX('regrets 4'!I73, 0) / SUMIF('regrets 4'!$G73:$K73, "&gt;0"), 1 / COUNT('regrets 4'!$G73:$K73))</f>
        <v>0.5</v>
      </c>
      <c r="J73" s="62"/>
      <c r="K73" s="90"/>
      <c r="L73" s="60"/>
      <c r="M73" s="60">
        <f>IF(SUMIF('regrets 4'!$L73:$P73, "&gt;0") &gt; 0, MAX('regrets 4'!M73, 0) / SUMIF('regrets 4'!$L73:$P73, "&gt;0"), 1 / COUNT('regrets 4'!$L73:$P73))</f>
        <v>0.5</v>
      </c>
      <c r="N73" s="60">
        <f>IF(SUMIF('regrets 4'!$L73:$P73, "&gt;0") &gt; 0, MAX('regrets 4'!N73, 0) / SUMIF('regrets 4'!$L73:$P73, "&gt;0"), 1 / COUNT('regrets 4'!$L73:$P73))</f>
        <v>0.5</v>
      </c>
      <c r="O73" s="62"/>
      <c r="P73" s="90"/>
      <c r="Q73" s="60"/>
      <c r="R73" s="60">
        <f>IF(SUMIF('regrets 4'!$Q73:$U73, "&gt;0") &gt; 0, MAX('regrets 4'!R73, 0) / SUMIF('regrets 4'!$Q73:$U73, "&gt;0"), 1 / COUNT('regrets 4'!$Q73:$U73))</f>
        <v>0.5</v>
      </c>
      <c r="S73" s="60">
        <f>IF(SUMIF('regrets 4'!$Q73:$U73, "&gt;0") &gt; 0, MAX('regrets 4'!S73, 0) / SUMIF('regrets 4'!$Q73:$U73, "&gt;0"), 1 / COUNT('regrets 4'!$Q73:$U73))</f>
        <v>0.5</v>
      </c>
      <c r="T73" s="62"/>
      <c r="U73" s="90"/>
    </row>
    <row r="74" spans="1:21" ht="20" customHeight="1" x14ac:dyDescent="0.15">
      <c r="A74" s="12">
        <v>5</v>
      </c>
      <c r="B74" s="61">
        <f>IF(SUMIF('regrets 4'!$B74:$F74, "&gt;0") &gt; 0, MAX('regrets 4'!B74, 0) / SUMIF('regrets 4'!$B74:$F74, "&gt;0"), 1 / COUNT('regrets 4'!$B74:$F74))</f>
        <v>0.5</v>
      </c>
      <c r="C74" s="61">
        <f>IF(SUMIF('regrets 4'!$B74:$F74, "&gt;0") &gt; 0, MAX('regrets 4'!C74, 0) / SUMIF('regrets 4'!$B74:$F74, "&gt;0"), 1 / COUNT('regrets 4'!$B74:$F74))</f>
        <v>0.5</v>
      </c>
      <c r="D74" s="61"/>
      <c r="E74" s="62"/>
      <c r="F74" s="90"/>
      <c r="G74" s="60">
        <f>IF(SUMIF('regrets 4'!$G74:$K74, "&gt;0") &gt; 0, MAX('regrets 4'!G74, 0) / SUMIF('regrets 4'!$G74:$K74, "&gt;0"), 1 / COUNT('regrets 4'!$G74:$K74))</f>
        <v>0.5</v>
      </c>
      <c r="H74" s="60">
        <f>IF(SUMIF('regrets 4'!$G74:$K74, "&gt;0") &gt; 0, MAX('regrets 4'!H74, 0) / SUMIF('regrets 4'!$G74:$K74, "&gt;0"), 1 / COUNT('regrets 4'!$G74:$K74))</f>
        <v>0.5</v>
      </c>
      <c r="I74" s="61"/>
      <c r="J74" s="62"/>
      <c r="K74" s="90"/>
      <c r="L74" s="60">
        <f>IF(SUMIF('regrets 4'!$L74:$P74, "&gt;0") &gt; 0, MAX('regrets 4'!L74, 0) / SUMIF('regrets 4'!$L74:$P74, "&gt;0"), 1 / COUNT('regrets 4'!$L74:$P74))</f>
        <v>0.5</v>
      </c>
      <c r="M74" s="60">
        <f>IF(SUMIF('regrets 4'!$L74:$P74, "&gt;0") &gt; 0, MAX('regrets 4'!M74, 0) / SUMIF('regrets 4'!$L74:$P74, "&gt;0"), 1 / COUNT('regrets 4'!$L74:$P74))</f>
        <v>0.5</v>
      </c>
      <c r="N74" s="61"/>
      <c r="O74" s="62"/>
      <c r="P74" s="90"/>
      <c r="Q74" s="60">
        <f>IF(SUMIF('regrets 4'!$Q74:$U74, "&gt;0") &gt; 0, MAX('regrets 4'!Q74, 0) / SUMIF('regrets 4'!$Q74:$U74, "&gt;0"), 1 / COUNT('regrets 4'!$Q74:$U74))</f>
        <v>0.5</v>
      </c>
      <c r="R74" s="60">
        <f>IF(SUMIF('regrets 4'!$Q74:$U74, "&gt;0") &gt; 0, MAX('regrets 4'!R74, 0) / SUMIF('regrets 4'!$Q74:$U74, "&gt;0"), 1 / COUNT('regrets 4'!$Q74:$U74))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IF(SUMIF('regrets 4'!$B75:$F75, "&gt;0") &gt; 0, MAX('regrets 4'!C75, 0) / SUMIF('regrets 4'!$B75:$F75, "&gt;0"), 1 / COUNT('regrets 4'!$B75:$F75))</f>
        <v>0.5</v>
      </c>
      <c r="D75" s="61">
        <f>IF(SUMIF('regrets 4'!$B75:$F75, "&gt;0") &gt; 0, MAX('regrets 4'!D75, 0) / SUMIF('regrets 4'!$B75:$F75, "&gt;0"), 1 / COUNT('regrets 4'!$B75:$F75))</f>
        <v>0.5</v>
      </c>
      <c r="E75" s="62"/>
      <c r="F75" s="90"/>
      <c r="G75" s="60"/>
      <c r="H75" s="60">
        <f>IF(SUMIF('regrets 4'!$G75:$K75, "&gt;0") &gt; 0, MAX('regrets 4'!H75, 0) / SUMIF('regrets 4'!$G75:$K75, "&gt;0"), 1 / COUNT('regrets 4'!$G75:$K75))</f>
        <v>0.5</v>
      </c>
      <c r="I75" s="60">
        <f>IF(SUMIF('regrets 4'!$G75:$K75, "&gt;0") &gt; 0, MAX('regrets 4'!I75, 0) / SUMIF('regrets 4'!$G75:$K75, "&gt;0"), 1 / COUNT('regrets 4'!$G75:$K75))</f>
        <v>0.5</v>
      </c>
      <c r="J75" s="62"/>
      <c r="K75" s="90"/>
      <c r="L75" s="60"/>
      <c r="M75" s="60">
        <f>IF(SUMIF('regrets 4'!$L75:$P75, "&gt;0") &gt; 0, MAX('regrets 4'!M75, 0) / SUMIF('regrets 4'!$L75:$P75, "&gt;0"), 1 / COUNT('regrets 4'!$L75:$P75))</f>
        <v>0.5</v>
      </c>
      <c r="N75" s="60">
        <f>IF(SUMIF('regrets 4'!$L75:$P75, "&gt;0") &gt; 0, MAX('regrets 4'!N75, 0) / SUMIF('regrets 4'!$L75:$P75, "&gt;0"), 1 / COUNT('regrets 4'!$L75:$P75))</f>
        <v>0.5</v>
      </c>
      <c r="O75" s="62"/>
      <c r="P75" s="90"/>
      <c r="Q75" s="60"/>
      <c r="R75" s="60">
        <f>IF(SUMIF('regrets 4'!$Q75:$U75, "&gt;0") &gt; 0, MAX('regrets 4'!R75, 0) / SUMIF('regrets 4'!$Q75:$U75, "&gt;0"), 1 / COUNT('regrets 4'!$Q75:$U75))</f>
        <v>0.5</v>
      </c>
      <c r="S75" s="60">
        <f>IF(SUMIF('regrets 4'!$Q75:$U75, "&gt;0") &gt; 0, MAX('regrets 4'!S75, 0) / SUMIF('regrets 4'!$Q75:$U75, "&gt;0"), 1 / COUNT('regrets 4'!$Q75:$U75))</f>
        <v>0.5</v>
      </c>
      <c r="T75" s="62"/>
      <c r="U75" s="90"/>
    </row>
    <row r="76" spans="1:21" ht="20" customHeight="1" x14ac:dyDescent="0.15">
      <c r="A76" s="12">
        <v>7</v>
      </c>
      <c r="B76" s="61">
        <f>IF(SUMIF('regrets 4'!$B76:$F76, "&gt;0") &gt; 0, MAX('regrets 4'!B76, 0) / SUMIF('regrets 4'!$B76:$F76, "&gt;0"), 1 / COUNT('regrets 4'!$B76:$F76))</f>
        <v>0.5</v>
      </c>
      <c r="C76" s="61">
        <f>IF(SUMIF('regrets 4'!$B76:$F76, "&gt;0") &gt; 0, MAX('regrets 4'!C76, 0) / SUMIF('regrets 4'!$B76:$F76, "&gt;0"), 1 / COUNT('regrets 4'!$B76:$F76))</f>
        <v>0.5</v>
      </c>
      <c r="D76" s="61"/>
      <c r="E76" s="62"/>
      <c r="F76" s="90"/>
      <c r="G76" s="60">
        <f>IF(SUMIF('regrets 4'!$G76:$K76, "&gt;0") &gt; 0, MAX('regrets 4'!G76, 0) / SUMIF('regrets 4'!$G76:$K76, "&gt;0"), 1 / COUNT('regrets 4'!$G76:$K76))</f>
        <v>0.5</v>
      </c>
      <c r="H76" s="60">
        <f>IF(SUMIF('regrets 4'!$G76:$K76, "&gt;0") &gt; 0, MAX('regrets 4'!H76, 0) / SUMIF('regrets 4'!$G76:$K76, "&gt;0"), 1 / COUNT('regrets 4'!$G76:$K76))</f>
        <v>0.5</v>
      </c>
      <c r="I76" s="61"/>
      <c r="J76" s="62"/>
      <c r="K76" s="90"/>
      <c r="L76" s="60">
        <f>IF(SUMIF('regrets 4'!$L76:$P76, "&gt;0") &gt; 0, MAX('regrets 4'!L76, 0) / SUMIF('regrets 4'!$L76:$P76, "&gt;0"), 1 / COUNT('regrets 4'!$L76:$P76))</f>
        <v>0.5</v>
      </c>
      <c r="M76" s="60">
        <f>IF(SUMIF('regrets 4'!$L76:$P76, "&gt;0") &gt; 0, MAX('regrets 4'!M76, 0) / SUMIF('regrets 4'!$L76:$P76, "&gt;0"), 1 / COUNT('regrets 4'!$L76:$P76))</f>
        <v>0.5</v>
      </c>
      <c r="N76" s="61"/>
      <c r="O76" s="62"/>
      <c r="P76" s="90"/>
      <c r="Q76" s="60">
        <f>IF(SUMIF('regrets 4'!$Q76:$U76, "&gt;0") &gt; 0, MAX('regrets 4'!Q76, 0) / SUMIF('regrets 4'!$Q76:$U76, "&gt;0"), 1 / COUNT('regrets 4'!$Q76:$U76))</f>
        <v>0.5</v>
      </c>
      <c r="R76" s="60">
        <f>IF(SUMIF('regrets 4'!$Q76:$U76, "&gt;0") &gt; 0, MAX('regrets 4'!R76, 0) / SUMIF('regrets 4'!$Q76:$U76, "&gt;0"), 1 / COUNT('regrets 4'!$Q76:$U76))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IF(SUMIF('regrets 4'!$B77:$F77, "&gt;0") &gt; 0, MAX('regrets 4'!C77, 0) / SUMIF('regrets 4'!$B77:$F77, "&gt;0"), 1 / COUNT('regrets 4'!$B77:$F77))</f>
        <v>0.5</v>
      </c>
      <c r="D77" s="61">
        <f>IF(SUMIF('regrets 4'!$B77:$F77, "&gt;0") &gt; 0, MAX('regrets 4'!D77, 0) / SUMIF('regrets 4'!$B77:$F77, "&gt;0"), 1 / COUNT('regrets 4'!$B77:$F77))</f>
        <v>0.5</v>
      </c>
      <c r="E77" s="62"/>
      <c r="F77" s="90"/>
      <c r="G77" s="60"/>
      <c r="H77" s="60">
        <f>IF(SUMIF('regrets 4'!$G77:$K77, "&gt;0") &gt; 0, MAX('regrets 4'!H77, 0) / SUMIF('regrets 4'!$G77:$K77, "&gt;0"), 1 / COUNT('regrets 4'!$G77:$K77))</f>
        <v>0.5</v>
      </c>
      <c r="I77" s="60">
        <f>IF(SUMIF('regrets 4'!$G77:$K77, "&gt;0") &gt; 0, MAX('regrets 4'!I77, 0) / SUMIF('regrets 4'!$G77:$K77, "&gt;0"), 1 / COUNT('regrets 4'!$G77:$K77))</f>
        <v>0.5</v>
      </c>
      <c r="J77" s="62"/>
      <c r="K77" s="90"/>
      <c r="L77" s="60"/>
      <c r="M77" s="60">
        <f>IF(SUMIF('regrets 4'!$L77:$P77, "&gt;0") &gt; 0, MAX('regrets 4'!M77, 0) / SUMIF('regrets 4'!$L77:$P77, "&gt;0"), 1 / COUNT('regrets 4'!$L77:$P77))</f>
        <v>0.5</v>
      </c>
      <c r="N77" s="60">
        <f>IF(SUMIF('regrets 4'!$L77:$P77, "&gt;0") &gt; 0, MAX('regrets 4'!N77, 0) / SUMIF('regrets 4'!$L77:$P77, "&gt;0"), 1 / COUNT('regrets 4'!$L77:$P77))</f>
        <v>0.5</v>
      </c>
      <c r="O77" s="62"/>
      <c r="P77" s="90"/>
      <c r="Q77" s="60"/>
      <c r="R77" s="60">
        <f>IF(SUMIF('regrets 4'!$Q77:$U77, "&gt;0") &gt; 0, MAX('regrets 4'!R77, 0) / SUMIF('regrets 4'!$Q77:$U77, "&gt;0"), 1 / COUNT('regrets 4'!$Q77:$U77))</f>
        <v>0.5</v>
      </c>
      <c r="S77" s="60">
        <f>IF(SUMIF('regrets 4'!$Q77:$U77, "&gt;0") &gt; 0, MAX('regrets 4'!S77, 0) / SUMIF('regrets 4'!$Q77:$U77, "&gt;0"), 1 / COUNT('regrets 4'!$Q77:$U77))</f>
        <v>0.5</v>
      </c>
      <c r="T77" s="62"/>
      <c r="U77" s="90"/>
    </row>
    <row r="78" spans="1:21" ht="20" customHeight="1" x14ac:dyDescent="0.15">
      <c r="A78" s="12">
        <v>9</v>
      </c>
      <c r="B78" s="61">
        <f>IF(SUMIF('regrets 4'!$B78:$F78, "&gt;0") &gt; 0, MAX('regrets 4'!B78, 0) / SUMIF('regrets 4'!$B78:$F78, "&gt;0"), 1 / COUNT('regrets 4'!$B78:$F78))</f>
        <v>0.5</v>
      </c>
      <c r="C78" s="61">
        <f>IF(SUMIF('regrets 4'!$B78:$F78, "&gt;0") &gt; 0, MAX('regrets 4'!C78, 0) / SUMIF('regrets 4'!$B78:$F78, "&gt;0"), 1 / COUNT('regrets 4'!$B78:$F78))</f>
        <v>0.5</v>
      </c>
      <c r="D78" s="61"/>
      <c r="E78" s="62"/>
      <c r="F78" s="90"/>
      <c r="G78" s="60">
        <f>IF(SUMIF('regrets 4'!$G78:$K78, "&gt;0") &gt; 0, MAX('regrets 4'!G78, 0) / SUMIF('regrets 4'!$G78:$K78, "&gt;0"), 1 / COUNT('regrets 4'!$G78:$K78))</f>
        <v>0.5</v>
      </c>
      <c r="H78" s="60">
        <f>IF(SUMIF('regrets 4'!$G78:$K78, "&gt;0") &gt; 0, MAX('regrets 4'!H78, 0) / SUMIF('regrets 4'!$G78:$K78, "&gt;0"), 1 / COUNT('regrets 4'!$G78:$K78))</f>
        <v>0.5</v>
      </c>
      <c r="I78" s="61"/>
      <c r="J78" s="62"/>
      <c r="K78" s="90"/>
      <c r="L78" s="60">
        <f>IF(SUMIF('regrets 4'!$L78:$P78, "&gt;0") &gt; 0, MAX('regrets 4'!L78, 0) / SUMIF('regrets 4'!$L78:$P78, "&gt;0"), 1 / COUNT('regrets 4'!$L78:$P78))</f>
        <v>0.5</v>
      </c>
      <c r="M78" s="60">
        <f>IF(SUMIF('regrets 4'!$L78:$P78, "&gt;0") &gt; 0, MAX('regrets 4'!M78, 0) / SUMIF('regrets 4'!$L78:$P78, "&gt;0"), 1 / COUNT('regrets 4'!$L78:$P78))</f>
        <v>0.5</v>
      </c>
      <c r="N78" s="61"/>
      <c r="O78" s="62"/>
      <c r="P78" s="90"/>
      <c r="Q78" s="60">
        <f>IF(SUMIF('regrets 4'!$Q78:$U78, "&gt;0") &gt; 0, MAX('regrets 4'!Q78, 0) / SUMIF('regrets 4'!$Q78:$U78, "&gt;0"), 1 / COUNT('regrets 4'!$Q78:$U78))</f>
        <v>0.5</v>
      </c>
      <c r="R78" s="60">
        <f>IF(SUMIF('regrets 4'!$Q78:$U78, "&gt;0") &gt; 0, MAX('regrets 4'!R78, 0) / SUMIF('regrets 4'!$Q78:$U78, "&gt;0"), 1 / COUNT('regrets 4'!$Q78:$U78))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IF(SUMIF('regrets 4'!$B79:$F79, "&gt;0") &gt; 0, MAX('regrets 4'!C79, 0) / SUMIF('regrets 4'!$B79:$F79, "&gt;0"), 1 / COUNT('regrets 4'!$B79:$F79))</f>
        <v>0.5</v>
      </c>
      <c r="D79" s="61">
        <f>IF(SUMIF('regrets 4'!$B79:$F79, "&gt;0") &gt; 0, MAX('regrets 4'!D79, 0) / SUMIF('regrets 4'!$B79:$F79, "&gt;0"), 1 / COUNT('regrets 4'!$B79:$F79))</f>
        <v>0.5</v>
      </c>
      <c r="E79" s="62"/>
      <c r="F79" s="90"/>
      <c r="G79" s="60"/>
      <c r="H79" s="60">
        <f>IF(SUMIF('regrets 4'!$G79:$K79, "&gt;0") &gt; 0, MAX('regrets 4'!H79, 0) / SUMIF('regrets 4'!$G79:$K79, "&gt;0"), 1 / COUNT('regrets 4'!$G79:$K79))</f>
        <v>0.5</v>
      </c>
      <c r="I79" s="60">
        <f>IF(SUMIF('regrets 4'!$G79:$K79, "&gt;0") &gt; 0, MAX('regrets 4'!I79, 0) / SUMIF('regrets 4'!$G79:$K79, "&gt;0"), 1 / COUNT('regrets 4'!$G79:$K79))</f>
        <v>0.5</v>
      </c>
      <c r="J79" s="62"/>
      <c r="K79" s="90"/>
      <c r="L79" s="60"/>
      <c r="M79" s="60">
        <f>IF(SUMIF('regrets 4'!$L79:$P79, "&gt;0") &gt; 0, MAX('regrets 4'!M79, 0) / SUMIF('regrets 4'!$L79:$P79, "&gt;0"), 1 / COUNT('regrets 4'!$L79:$P79))</f>
        <v>0.5</v>
      </c>
      <c r="N79" s="60">
        <f>IF(SUMIF('regrets 4'!$L79:$P79, "&gt;0") &gt; 0, MAX('regrets 4'!N79, 0) / SUMIF('regrets 4'!$L79:$P79, "&gt;0"), 1 / COUNT('regrets 4'!$L79:$P79))</f>
        <v>0.5</v>
      </c>
      <c r="O79" s="62"/>
      <c r="P79" s="90"/>
      <c r="Q79" s="60"/>
      <c r="R79" s="60">
        <f>IF(SUMIF('regrets 4'!$Q79:$U79, "&gt;0") &gt; 0, MAX('regrets 4'!R79, 0) / SUMIF('regrets 4'!$Q79:$U79, "&gt;0"), 1 / COUNT('regrets 4'!$Q79:$U79))</f>
        <v>0.5</v>
      </c>
      <c r="S79" s="60">
        <f>IF(SUMIF('regrets 4'!$Q79:$U79, "&gt;0") &gt; 0, MAX('regrets 4'!S79, 0) / SUMIF('regrets 4'!$Q79:$U79, "&gt;0"), 1 / COUNT('regrets 4'!$Q79:$U79))</f>
        <v>0.5</v>
      </c>
      <c r="T79" s="62"/>
      <c r="U79" s="90"/>
    </row>
    <row r="80" spans="1:21" ht="20" customHeight="1" x14ac:dyDescent="0.15">
      <c r="A80" s="12">
        <v>11</v>
      </c>
      <c r="B80" s="61">
        <f>IF(SUMIF('regrets 4'!$B80:$F80, "&gt;0") &gt; 0, MAX('regrets 4'!B80, 0) / SUMIF('regrets 4'!$B80:$F80, "&gt;0"), 1 / COUNT('regrets 4'!$B80:$F80))</f>
        <v>0.5</v>
      </c>
      <c r="C80" s="61">
        <f>IF(SUMIF('regrets 4'!$B80:$F80, "&gt;0") &gt; 0, MAX('regrets 4'!C80, 0) / SUMIF('regrets 4'!$B80:$F80, "&gt;0"), 1 / COUNT('regrets 4'!$B80:$F80))</f>
        <v>0.5</v>
      </c>
      <c r="D80" s="61"/>
      <c r="E80" s="62"/>
      <c r="F80" s="90"/>
      <c r="G80" s="60">
        <f>IF(SUMIF('regrets 4'!$G80:$K80, "&gt;0") &gt; 0, MAX('regrets 4'!G80, 0) / SUMIF('regrets 4'!$G80:$K80, "&gt;0"), 1 / COUNT('regrets 4'!$G80:$K80))</f>
        <v>0.5</v>
      </c>
      <c r="H80" s="60">
        <f>IF(SUMIF('regrets 4'!$G80:$K80, "&gt;0") &gt; 0, MAX('regrets 4'!H80, 0) / SUMIF('regrets 4'!$G80:$K80, "&gt;0"), 1 / COUNT('regrets 4'!$G80:$K80))</f>
        <v>0.5</v>
      </c>
      <c r="I80" s="61"/>
      <c r="J80" s="62"/>
      <c r="K80" s="90"/>
      <c r="L80" s="60">
        <f>IF(SUMIF('regrets 4'!$L80:$P80, "&gt;0") &gt; 0, MAX('regrets 4'!L80, 0) / SUMIF('regrets 4'!$L80:$P80, "&gt;0"), 1 / COUNT('regrets 4'!$L80:$P80))</f>
        <v>0.5</v>
      </c>
      <c r="M80" s="60">
        <f>IF(SUMIF('regrets 4'!$L80:$P80, "&gt;0") &gt; 0, MAX('regrets 4'!M80, 0) / SUMIF('regrets 4'!$L80:$P80, "&gt;0"), 1 / COUNT('regrets 4'!$L80:$P80))</f>
        <v>0.5</v>
      </c>
      <c r="N80" s="61"/>
      <c r="O80" s="62"/>
      <c r="P80" s="90"/>
      <c r="Q80" s="60">
        <f>IF(SUMIF('regrets 4'!$Q80:$U80, "&gt;0") &gt; 0, MAX('regrets 4'!Q80, 0) / SUMIF('regrets 4'!$Q80:$U80, "&gt;0"), 1 / COUNT('regrets 4'!$Q80:$U80))</f>
        <v>0.5</v>
      </c>
      <c r="R80" s="60">
        <f>IF(SUMIF('regrets 4'!$Q80:$U80, "&gt;0") &gt; 0, MAX('regrets 4'!R80, 0) / SUMIF('regrets 4'!$Q80:$U80, "&gt;0"), 1 / COUNT('regrets 4'!$Q80:$U80))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IF(SUMIF('regrets 4'!$B81:$F81, "&gt;0") &gt; 0, MAX('regrets 4'!C81, 0) / SUMIF('regrets 4'!$B81:$F81, "&gt;0"), 1 / COUNT('regrets 4'!$B81:$F81))</f>
        <v>0.5</v>
      </c>
      <c r="D81" s="61">
        <f>IF(SUMIF('regrets 4'!$B81:$F81, "&gt;0") &gt; 0, MAX('regrets 4'!D81, 0) / SUMIF('regrets 4'!$B81:$F81, "&gt;0"), 1 / COUNT('regrets 4'!$B81:$F81))</f>
        <v>0.5</v>
      </c>
      <c r="E81" s="62"/>
      <c r="F81" s="90"/>
      <c r="G81" s="60"/>
      <c r="H81" s="60">
        <f>IF(SUMIF('regrets 4'!$G81:$K81, "&gt;0") &gt; 0, MAX('regrets 4'!H81, 0) / SUMIF('regrets 4'!$G81:$K81, "&gt;0"), 1 / COUNT('regrets 4'!$G81:$K81))</f>
        <v>0.5</v>
      </c>
      <c r="I81" s="60">
        <f>IF(SUMIF('regrets 4'!$G81:$K81, "&gt;0") &gt; 0, MAX('regrets 4'!I81, 0) / SUMIF('regrets 4'!$G81:$K81, "&gt;0"), 1 / COUNT('regrets 4'!$G81:$K81))</f>
        <v>0.5</v>
      </c>
      <c r="J81" s="62"/>
      <c r="K81" s="90"/>
      <c r="L81" s="60"/>
      <c r="M81" s="60">
        <f>IF(SUMIF('regrets 4'!$L81:$P81, "&gt;0") &gt; 0, MAX('regrets 4'!M81, 0) / SUMIF('regrets 4'!$L81:$P81, "&gt;0"), 1 / COUNT('regrets 4'!$L81:$P81))</f>
        <v>0.5</v>
      </c>
      <c r="N81" s="60">
        <f>IF(SUMIF('regrets 4'!$L81:$P81, "&gt;0") &gt; 0, MAX('regrets 4'!N81, 0) / SUMIF('regrets 4'!$L81:$P81, "&gt;0"), 1 / COUNT('regrets 4'!$L81:$P81))</f>
        <v>0.5</v>
      </c>
      <c r="O81" s="62"/>
      <c r="P81" s="90"/>
      <c r="Q81" s="60"/>
      <c r="R81" s="60">
        <f>IF(SUMIF('regrets 4'!$Q81:$U81, "&gt;0") &gt; 0, MAX('regrets 4'!R81, 0) / SUMIF('regrets 4'!$Q81:$U81, "&gt;0"), 1 / COUNT('regrets 4'!$Q81:$U81))</f>
        <v>0.5</v>
      </c>
      <c r="S81" s="60">
        <f>IF(SUMIF('regrets 4'!$Q81:$U81, "&gt;0") &gt; 0, MAX('regrets 4'!S81, 0) / SUMIF('regrets 4'!$Q81:$U81, "&gt;0"), 1 / COUNT('regrets 4'!$Q81:$U81))</f>
        <v>0.5</v>
      </c>
      <c r="T81" s="62"/>
      <c r="U81" s="90"/>
    </row>
    <row r="82" spans="1:21" ht="20" customHeight="1" x14ac:dyDescent="0.15">
      <c r="A82" s="12">
        <v>13</v>
      </c>
      <c r="B82" s="61">
        <f>IF(SUMIF('regrets 4'!$B82:$F82, "&gt;0") &gt; 0, MAX('regrets 4'!B82, 0) / SUMIF('regrets 4'!$B82:$F82, "&gt;0"), 1 / COUNT('regrets 4'!$B82:$F82))</f>
        <v>0.5</v>
      </c>
      <c r="C82" s="61">
        <f>IF(SUMIF('regrets 4'!$B82:$F82, "&gt;0") &gt; 0, MAX('regrets 4'!C82, 0) / SUMIF('regrets 4'!$B82:$F82, "&gt;0"), 1 / COUNT('regrets 4'!$B82:$F82))</f>
        <v>0.5</v>
      </c>
      <c r="D82" s="61"/>
      <c r="E82" s="62"/>
      <c r="F82" s="90"/>
      <c r="G82" s="60">
        <f>IF(SUMIF('regrets 4'!$G82:$K82, "&gt;0") &gt; 0, MAX('regrets 4'!G82, 0) / SUMIF('regrets 4'!$G82:$K82, "&gt;0"), 1 / COUNT('regrets 4'!$G82:$K82))</f>
        <v>0.5</v>
      </c>
      <c r="H82" s="60">
        <f>IF(SUMIF('regrets 4'!$G82:$K82, "&gt;0") &gt; 0, MAX('regrets 4'!H82, 0) / SUMIF('regrets 4'!$G82:$K82, "&gt;0"), 1 / COUNT('regrets 4'!$G82:$K82))</f>
        <v>0.5</v>
      </c>
      <c r="I82" s="61"/>
      <c r="J82" s="62"/>
      <c r="K82" s="90"/>
      <c r="L82" s="60">
        <f>IF(SUMIF('regrets 4'!$L82:$P82, "&gt;0") &gt; 0, MAX('regrets 4'!L82, 0) / SUMIF('regrets 4'!$L82:$P82, "&gt;0"), 1 / COUNT('regrets 4'!$L82:$P82))</f>
        <v>0.5</v>
      </c>
      <c r="M82" s="60">
        <f>IF(SUMIF('regrets 4'!$L82:$P82, "&gt;0") &gt; 0, MAX('regrets 4'!M82, 0) / SUMIF('regrets 4'!$L82:$P82, "&gt;0"), 1 / COUNT('regrets 4'!$L82:$P82))</f>
        <v>0.5</v>
      </c>
      <c r="N82" s="61"/>
      <c r="O82" s="62"/>
      <c r="P82" s="90"/>
      <c r="Q82" s="60">
        <f>IF(SUMIF('regrets 4'!$Q82:$U82, "&gt;0") &gt; 0, MAX('regrets 4'!Q82, 0) / SUMIF('regrets 4'!$Q82:$U82, "&gt;0"), 1 / COUNT('regrets 4'!$Q82:$U82))</f>
        <v>0.5</v>
      </c>
      <c r="R82" s="60">
        <f>IF(SUMIF('regrets 4'!$Q82:$U82, "&gt;0") &gt; 0, MAX('regrets 4'!R82, 0) / SUMIF('regrets 4'!$Q82:$U82, "&gt;0"), 1 / COUNT('regrets 4'!$Q82:$U82))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IF(SUMIF('regrets 4'!$B83:$F83, "&gt;0") &gt; 0, MAX('regrets 4'!C83, 0) / SUMIF('regrets 4'!$B83:$F83, "&gt;0"), 1 / COUNT('regrets 4'!$B83:$F83))</f>
        <v>0.5</v>
      </c>
      <c r="D83" s="61">
        <f>IF(SUMIF('regrets 4'!$B83:$F83, "&gt;0") &gt; 0, MAX('regrets 4'!D83, 0) / SUMIF('regrets 4'!$B83:$F83, "&gt;0"), 1 / COUNT('regrets 4'!$B83:$F83))</f>
        <v>0.5</v>
      </c>
      <c r="E83" s="62"/>
      <c r="F83" s="90"/>
      <c r="G83" s="60"/>
      <c r="H83" s="60">
        <f>IF(SUMIF('regrets 4'!$G83:$K83, "&gt;0") &gt; 0, MAX('regrets 4'!H83, 0) / SUMIF('regrets 4'!$G83:$K83, "&gt;0"), 1 / COUNT('regrets 4'!$G83:$K83))</f>
        <v>0.5</v>
      </c>
      <c r="I83" s="60">
        <f>IF(SUMIF('regrets 4'!$G83:$K83, "&gt;0") &gt; 0, MAX('regrets 4'!I83, 0) / SUMIF('regrets 4'!$G83:$K83, "&gt;0"), 1 / COUNT('regrets 4'!$G83:$K83))</f>
        <v>0.5</v>
      </c>
      <c r="J83" s="62"/>
      <c r="K83" s="90"/>
      <c r="L83" s="60"/>
      <c r="M83" s="60">
        <f>IF(SUMIF('regrets 4'!$L83:$P83, "&gt;0") &gt; 0, MAX('regrets 4'!M83, 0) / SUMIF('regrets 4'!$L83:$P83, "&gt;0"), 1 / COUNT('regrets 4'!$L83:$P83))</f>
        <v>0.5</v>
      </c>
      <c r="N83" s="60">
        <f>IF(SUMIF('regrets 4'!$L83:$P83, "&gt;0") &gt; 0, MAX('regrets 4'!N83, 0) / SUMIF('regrets 4'!$L83:$P83, "&gt;0"), 1 / COUNT('regrets 4'!$L83:$P83))</f>
        <v>0.5</v>
      </c>
      <c r="O83" s="62"/>
      <c r="P83" s="90"/>
      <c r="Q83" s="60"/>
      <c r="R83" s="60">
        <f>IF(SUMIF('regrets 4'!$Q83:$U83, "&gt;0") &gt; 0, MAX('regrets 4'!R83, 0) / SUMIF('regrets 4'!$Q83:$U83, "&gt;0"), 1 / COUNT('regrets 4'!$Q83:$U83))</f>
        <v>0.5</v>
      </c>
      <c r="S83" s="60">
        <f>IF(SUMIF('regrets 4'!$Q83:$U83, "&gt;0") &gt; 0, MAX('regrets 4'!S83, 0) / SUMIF('regrets 4'!$Q83:$U83, "&gt;0"), 1 / COUNT('regrets 4'!$Q83:$U83))</f>
        <v>0.5</v>
      </c>
      <c r="T83" s="62"/>
      <c r="U83" s="90"/>
    </row>
    <row r="84" spans="1:21" ht="20" customHeight="1" x14ac:dyDescent="0.15">
      <c r="A84" s="12">
        <v>15</v>
      </c>
      <c r="B84" s="61">
        <f>IF(SUMIF('regrets 4'!$B84:$F84, "&gt;0") &gt; 0, MAX('regrets 4'!B84, 0) / SUMIF('regrets 4'!$B84:$F84, "&gt;0"), 1 / COUNT('regrets 4'!$B84:$F84))</f>
        <v>0.5</v>
      </c>
      <c r="C84" s="61">
        <f>IF(SUMIF('regrets 4'!$B84:$F84, "&gt;0") &gt; 0, MAX('regrets 4'!C84, 0) / SUMIF('regrets 4'!$B84:$F84, "&gt;0"), 1 / COUNT('regrets 4'!$B84:$F84))</f>
        <v>0.5</v>
      </c>
      <c r="D84" s="61"/>
      <c r="E84" s="62"/>
      <c r="F84" s="90"/>
      <c r="G84" s="60">
        <f>IF(SUMIF('regrets 4'!$G84:$K84, "&gt;0") &gt; 0, MAX('regrets 4'!G84, 0) / SUMIF('regrets 4'!$G84:$K84, "&gt;0"), 1 / COUNT('regrets 4'!$G84:$K84))</f>
        <v>0.5</v>
      </c>
      <c r="H84" s="60">
        <f>IF(SUMIF('regrets 4'!$G84:$K84, "&gt;0") &gt; 0, MAX('regrets 4'!H84, 0) / SUMIF('regrets 4'!$G84:$K84, "&gt;0"), 1 / COUNT('regrets 4'!$G84:$K84))</f>
        <v>0.5</v>
      </c>
      <c r="I84" s="61"/>
      <c r="J84" s="62"/>
      <c r="K84" s="90"/>
      <c r="L84" s="60">
        <f>IF(SUMIF('regrets 4'!$L84:$P84, "&gt;0") &gt; 0, MAX('regrets 4'!L84, 0) / SUMIF('regrets 4'!$L84:$P84, "&gt;0"), 1 / COUNT('regrets 4'!$L84:$P84))</f>
        <v>0.5</v>
      </c>
      <c r="M84" s="60">
        <f>IF(SUMIF('regrets 4'!$L84:$P84, "&gt;0") &gt; 0, MAX('regrets 4'!M84, 0) / SUMIF('regrets 4'!$L84:$P84, "&gt;0"), 1 / COUNT('regrets 4'!$L84:$P84))</f>
        <v>0.5</v>
      </c>
      <c r="N84" s="61"/>
      <c r="O84" s="62"/>
      <c r="P84" s="90"/>
      <c r="Q84" s="60">
        <f>IF(SUMIF('regrets 4'!$Q84:$U84, "&gt;0") &gt; 0, MAX('regrets 4'!Q84, 0) / SUMIF('regrets 4'!$Q84:$U84, "&gt;0"), 1 / COUNT('regrets 4'!$Q84:$U84))</f>
        <v>0.5</v>
      </c>
      <c r="R84" s="60">
        <f>IF(SUMIF('regrets 4'!$Q84:$U84, "&gt;0") &gt; 0, MAX('regrets 4'!R84, 0) / SUMIF('regrets 4'!$Q84:$U84, "&gt;0"), 1 / COUNT('regrets 4'!$Q84:$U84))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IF(SUMIF('regrets 4'!$B85:$F85, "&gt;0") &gt; 0, MAX('regrets 4'!C85, 0) / SUMIF('regrets 4'!$B85:$F85, "&gt;0"), 1 / COUNT('regrets 4'!$B85:$F85))</f>
        <v>0.5</v>
      </c>
      <c r="D85" s="61">
        <f>IF(SUMIF('regrets 4'!$B85:$F85, "&gt;0") &gt; 0, MAX('regrets 4'!D85, 0) / SUMIF('regrets 4'!$B85:$F85, "&gt;0"), 1 / COUNT('regrets 4'!$B85:$F85))</f>
        <v>0.5</v>
      </c>
      <c r="E85" s="62"/>
      <c r="F85" s="90"/>
      <c r="G85" s="60"/>
      <c r="H85" s="60">
        <f>IF(SUMIF('regrets 4'!$G85:$K85, "&gt;0") &gt; 0, MAX('regrets 4'!H85, 0) / SUMIF('regrets 4'!$G85:$K85, "&gt;0"), 1 / COUNT('regrets 4'!$G85:$K85))</f>
        <v>0.5</v>
      </c>
      <c r="I85" s="60">
        <f>IF(SUMIF('regrets 4'!$G85:$K85, "&gt;0") &gt; 0, MAX('regrets 4'!I85, 0) / SUMIF('regrets 4'!$G85:$K85, "&gt;0"), 1 / COUNT('regrets 4'!$G85:$K85))</f>
        <v>0.5</v>
      </c>
      <c r="J85" s="62"/>
      <c r="K85" s="90"/>
      <c r="L85" s="60"/>
      <c r="M85" s="60">
        <f>IF(SUMIF('regrets 4'!$L85:$P85, "&gt;0") &gt; 0, MAX('regrets 4'!M85, 0) / SUMIF('regrets 4'!$L85:$P85, "&gt;0"), 1 / COUNT('regrets 4'!$L85:$P85))</f>
        <v>0.5</v>
      </c>
      <c r="N85" s="60">
        <f>IF(SUMIF('regrets 4'!$L85:$P85, "&gt;0") &gt; 0, MAX('regrets 4'!N85, 0) / SUMIF('regrets 4'!$L85:$P85, "&gt;0"), 1 / COUNT('regrets 4'!$L85:$P85))</f>
        <v>0.5</v>
      </c>
      <c r="O85" s="62"/>
      <c r="P85" s="90"/>
      <c r="Q85" s="60"/>
      <c r="R85" s="60">
        <f>IF(SUMIF('regrets 4'!$Q85:$U85, "&gt;0") &gt; 0, MAX('regrets 4'!R85, 0) / SUMIF('regrets 4'!$Q85:$U85, "&gt;0"), 1 / COUNT('regrets 4'!$Q85:$U85))</f>
        <v>0.5</v>
      </c>
      <c r="S85" s="60">
        <f>IF(SUMIF('regrets 4'!$Q85:$U85, "&gt;0") &gt; 0, MAX('regrets 4'!S85, 0) / SUMIF('regrets 4'!$Q85:$U85, "&gt;0"), 1 / COUNT('regrets 4'!$Q85:$U85))</f>
        <v>0.5</v>
      </c>
      <c r="T85" s="62"/>
      <c r="U85" s="90"/>
    </row>
    <row r="86" spans="1:21" ht="20" customHeight="1" x14ac:dyDescent="0.15">
      <c r="A86" s="12">
        <v>17</v>
      </c>
      <c r="B86" s="61">
        <f>IF(SUMIF('regrets 4'!$B86:$F86, "&gt;0") &gt; 0, MAX('regrets 4'!B86, 0) / SUMIF('regrets 4'!$B86:$F86, "&gt;0"), 1 / COUNT('regrets 4'!$B86:$F86))</f>
        <v>0.5</v>
      </c>
      <c r="C86" s="61">
        <f>IF(SUMIF('regrets 4'!$B86:$F86, "&gt;0") &gt; 0, MAX('regrets 4'!C86, 0) / SUMIF('regrets 4'!$B86:$F86, "&gt;0"), 1 / COUNT('regrets 4'!$B86:$F86))</f>
        <v>0.5</v>
      </c>
      <c r="D86" s="61"/>
      <c r="E86" s="62"/>
      <c r="F86" s="90"/>
      <c r="G86" s="60">
        <f>IF(SUMIF('regrets 4'!$G86:$K86, "&gt;0") &gt; 0, MAX('regrets 4'!G86, 0) / SUMIF('regrets 4'!$G86:$K86, "&gt;0"), 1 / COUNT('regrets 4'!$G86:$K86))</f>
        <v>0.5</v>
      </c>
      <c r="H86" s="60">
        <f>IF(SUMIF('regrets 4'!$G86:$K86, "&gt;0") &gt; 0, MAX('regrets 4'!H86, 0) / SUMIF('regrets 4'!$G86:$K86, "&gt;0"), 1 / COUNT('regrets 4'!$G86:$K86))</f>
        <v>0.5</v>
      </c>
      <c r="I86" s="61"/>
      <c r="J86" s="62"/>
      <c r="K86" s="90"/>
      <c r="L86" s="60">
        <f>IF(SUMIF('regrets 4'!$L86:$P86, "&gt;0") &gt; 0, MAX('regrets 4'!L86, 0) / SUMIF('regrets 4'!$L86:$P86, "&gt;0"), 1 / COUNT('regrets 4'!$L86:$P86))</f>
        <v>0.5</v>
      </c>
      <c r="M86" s="60">
        <f>IF(SUMIF('regrets 4'!$L86:$P86, "&gt;0") &gt; 0, MAX('regrets 4'!M86, 0) / SUMIF('regrets 4'!$L86:$P86, "&gt;0"), 1 / COUNT('regrets 4'!$L86:$P86))</f>
        <v>0.5</v>
      </c>
      <c r="N86" s="61"/>
      <c r="O86" s="62"/>
      <c r="P86" s="90"/>
      <c r="Q86" s="60">
        <f>IF(SUMIF('regrets 4'!$Q86:$U86, "&gt;0") &gt; 0, MAX('regrets 4'!Q86, 0) / SUMIF('regrets 4'!$Q86:$U86, "&gt;0"), 1 / COUNT('regrets 4'!$Q86:$U86))</f>
        <v>0.5</v>
      </c>
      <c r="R86" s="60">
        <f>IF(SUMIF('regrets 4'!$Q86:$U86, "&gt;0") &gt; 0, MAX('regrets 4'!R86, 0) / SUMIF('regrets 4'!$Q86:$U86, "&gt;0"), 1 / COUNT('regrets 4'!$Q86:$U86))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IF(SUMIF('regrets 4'!$B87:$F87, "&gt;0") &gt; 0, MAX('regrets 4'!C87, 0) / SUMIF('regrets 4'!$B87:$F87, "&gt;0"), 1 / COUNT('regrets 4'!$B87:$F87))</f>
        <v>0.5</v>
      </c>
      <c r="D87" s="61">
        <f>IF(SUMIF('regrets 4'!$B87:$F87, "&gt;0") &gt; 0, MAX('regrets 4'!D87, 0) / SUMIF('regrets 4'!$B87:$F87, "&gt;0"), 1 / COUNT('regrets 4'!$B87:$F87))</f>
        <v>0.5</v>
      </c>
      <c r="E87" s="62"/>
      <c r="F87" s="90"/>
      <c r="G87" s="60"/>
      <c r="H87" s="60">
        <f>IF(SUMIF('regrets 4'!$G87:$K87, "&gt;0") &gt; 0, MAX('regrets 4'!H87, 0) / SUMIF('regrets 4'!$G87:$K87, "&gt;0"), 1 / COUNT('regrets 4'!$G87:$K87))</f>
        <v>0.5</v>
      </c>
      <c r="I87" s="60">
        <f>IF(SUMIF('regrets 4'!$G87:$K87, "&gt;0") &gt; 0, MAX('regrets 4'!I87, 0) / SUMIF('regrets 4'!$G87:$K87, "&gt;0"), 1 / COUNT('regrets 4'!$G87:$K87))</f>
        <v>0.5</v>
      </c>
      <c r="J87" s="62"/>
      <c r="K87" s="90"/>
      <c r="L87" s="60"/>
      <c r="M87" s="60">
        <f>IF(SUMIF('regrets 4'!$L87:$P87, "&gt;0") &gt; 0, MAX('regrets 4'!M87, 0) / SUMIF('regrets 4'!$L87:$P87, "&gt;0"), 1 / COUNT('regrets 4'!$L87:$P87))</f>
        <v>0.5</v>
      </c>
      <c r="N87" s="60">
        <f>IF(SUMIF('regrets 4'!$L87:$P87, "&gt;0") &gt; 0, MAX('regrets 4'!N87, 0) / SUMIF('regrets 4'!$L87:$P87, "&gt;0"), 1 / COUNT('regrets 4'!$L87:$P87))</f>
        <v>0.5</v>
      </c>
      <c r="O87" s="62"/>
      <c r="P87" s="90"/>
      <c r="Q87" s="60"/>
      <c r="R87" s="60">
        <f>IF(SUMIF('regrets 4'!$Q87:$U87, "&gt;0") &gt; 0, MAX('regrets 4'!R87, 0) / SUMIF('regrets 4'!$Q87:$U87, "&gt;0"), 1 / COUNT('regrets 4'!$Q87:$U87))</f>
        <v>0.5</v>
      </c>
      <c r="S87" s="60">
        <f>IF(SUMIF('regrets 4'!$Q87:$U87, "&gt;0") &gt; 0, MAX('regrets 4'!S87, 0) / SUMIF('regrets 4'!$Q87:$U87, "&gt;0"), 1 / COUNT('regrets 4'!$Q87:$U87))</f>
        <v>0.5</v>
      </c>
      <c r="T87" s="62"/>
      <c r="U87" s="90"/>
    </row>
    <row r="88" spans="1:21" ht="20" customHeight="1" x14ac:dyDescent="0.15">
      <c r="A88" s="12">
        <v>19</v>
      </c>
      <c r="B88" s="61">
        <f>IF(SUMIF('regrets 4'!$B88:$F88, "&gt;0") &gt; 0, MAX('regrets 4'!B88, 0) / SUMIF('regrets 4'!$B88:$F88, "&gt;0"), 1 / COUNT('regrets 4'!$B88:$F88))</f>
        <v>0.5</v>
      </c>
      <c r="C88" s="61">
        <f>IF(SUMIF('regrets 4'!$B88:$F88, "&gt;0") &gt; 0, MAX('regrets 4'!C88, 0) / SUMIF('regrets 4'!$B88:$F88, "&gt;0"), 1 / COUNT('regrets 4'!$B88:$F88))</f>
        <v>0.5</v>
      </c>
      <c r="D88" s="61"/>
      <c r="E88" s="62"/>
      <c r="F88" s="90"/>
      <c r="G88" s="60">
        <f>IF(SUMIF('regrets 4'!$G88:$K88, "&gt;0") &gt; 0, MAX('regrets 4'!G88, 0) / SUMIF('regrets 4'!$G88:$K88, "&gt;0"), 1 / COUNT('regrets 4'!$G88:$K88))</f>
        <v>0.5</v>
      </c>
      <c r="H88" s="60">
        <f>IF(SUMIF('regrets 4'!$G88:$K88, "&gt;0") &gt; 0, MAX('regrets 4'!H88, 0) / SUMIF('regrets 4'!$G88:$K88, "&gt;0"), 1 / COUNT('regrets 4'!$G88:$K88))</f>
        <v>0.5</v>
      </c>
      <c r="I88" s="61"/>
      <c r="J88" s="62"/>
      <c r="K88" s="90"/>
      <c r="L88" s="60">
        <f>IF(SUMIF('regrets 4'!$L88:$P88, "&gt;0") &gt; 0, MAX('regrets 4'!L88, 0) / SUMIF('regrets 4'!$L88:$P88, "&gt;0"), 1 / COUNT('regrets 4'!$L88:$P88))</f>
        <v>0.5</v>
      </c>
      <c r="M88" s="60">
        <f>IF(SUMIF('regrets 4'!$L88:$P88, "&gt;0") &gt; 0, MAX('regrets 4'!M88, 0) / SUMIF('regrets 4'!$L88:$P88, "&gt;0"), 1 / COUNT('regrets 4'!$L88:$P88))</f>
        <v>0.5</v>
      </c>
      <c r="N88" s="61"/>
      <c r="O88" s="62"/>
      <c r="P88" s="90"/>
      <c r="Q88" s="60">
        <f>IF(SUMIF('regrets 4'!$Q88:$U88, "&gt;0") &gt; 0, MAX('regrets 4'!Q88, 0) / SUMIF('regrets 4'!$Q88:$U88, "&gt;0"), 1 / COUNT('regrets 4'!$Q88:$U88))</f>
        <v>0.5</v>
      </c>
      <c r="R88" s="60">
        <f>IF(SUMIF('regrets 4'!$Q88:$U88, "&gt;0") &gt; 0, MAX('regrets 4'!R88, 0) / SUMIF('regrets 4'!$Q88:$U88, "&gt;0"), 1 / COUNT('regrets 4'!$Q88:$U88))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IF(SUMIF('regrets 4'!$B89:$F89, "&gt;0") &gt; 0, MAX('regrets 4'!C89, 0) / SUMIF('regrets 4'!$B89:$F89, "&gt;0"), 1 / COUNT('regrets 4'!$B89:$F89))</f>
        <v>0.5</v>
      </c>
      <c r="D89" s="61">
        <f>IF(SUMIF('regrets 4'!$B89:$F89, "&gt;0") &gt; 0, MAX('regrets 4'!D89, 0) / SUMIF('regrets 4'!$B89:$F89, "&gt;0"), 1 / COUNT('regrets 4'!$B89:$F89))</f>
        <v>0.5</v>
      </c>
      <c r="E89" s="62"/>
      <c r="F89" s="90"/>
      <c r="G89" s="60"/>
      <c r="H89" s="60">
        <f>IF(SUMIF('regrets 4'!$G89:$K89, "&gt;0") &gt; 0, MAX('regrets 4'!H89, 0) / SUMIF('regrets 4'!$G89:$K89, "&gt;0"), 1 / COUNT('regrets 4'!$G89:$K89))</f>
        <v>0.5</v>
      </c>
      <c r="I89" s="60">
        <f>IF(SUMIF('regrets 4'!$G89:$K89, "&gt;0") &gt; 0, MAX('regrets 4'!I89, 0) / SUMIF('regrets 4'!$G89:$K89, "&gt;0"), 1 / COUNT('regrets 4'!$G89:$K89))</f>
        <v>0.5</v>
      </c>
      <c r="J89" s="62"/>
      <c r="K89" s="90"/>
      <c r="L89" s="60"/>
      <c r="M89" s="60">
        <f>IF(SUMIF('regrets 4'!$L89:$P89, "&gt;0") &gt; 0, MAX('regrets 4'!M89, 0) / SUMIF('regrets 4'!$L89:$P89, "&gt;0"), 1 / COUNT('regrets 4'!$L89:$P89))</f>
        <v>0.5</v>
      </c>
      <c r="N89" s="60">
        <f>IF(SUMIF('regrets 4'!$L89:$P89, "&gt;0") &gt; 0, MAX('regrets 4'!N89, 0) / SUMIF('regrets 4'!$L89:$P89, "&gt;0"), 1 / COUNT('regrets 4'!$L89:$P89))</f>
        <v>0.5</v>
      </c>
      <c r="O89" s="62"/>
      <c r="P89" s="90"/>
      <c r="Q89" s="60"/>
      <c r="R89" s="60">
        <f>IF(SUMIF('regrets 4'!$Q89:$U89, "&gt;0") &gt; 0, MAX('regrets 4'!R89, 0) / SUMIF('regrets 4'!$Q89:$U89, "&gt;0"), 1 / COUNT('regrets 4'!$Q89:$U89))</f>
        <v>0.5</v>
      </c>
      <c r="S89" s="60">
        <f>IF(SUMIF('regrets 4'!$Q89:$U89, "&gt;0") &gt; 0, MAX('regrets 4'!S89, 0) / SUMIF('regrets 4'!$Q89:$U89, "&gt;0"), 1 / COUNT('regrets 4'!$Q89:$U89))</f>
        <v>0.5</v>
      </c>
      <c r="T89" s="62"/>
      <c r="U89" s="90"/>
    </row>
    <row r="90" spans="1:21" ht="20" customHeight="1" x14ac:dyDescent="0.15">
      <c r="A90" s="12">
        <v>21</v>
      </c>
      <c r="B90" s="61">
        <f>IF(SUMIF('regrets 4'!$B90:$F90, "&gt;0") &gt; 0, MAX('regrets 4'!B90, 0) / SUMIF('regrets 4'!$B90:$F90, "&gt;0"), 1 / COUNT('regrets 4'!$B90:$F90))</f>
        <v>0</v>
      </c>
      <c r="C90" s="61">
        <f>IF(SUMIF('regrets 4'!$B90:$F90, "&gt;0") &gt; 0, MAX('regrets 4'!C90, 0) / SUMIF('regrets 4'!$B90:$F90, "&gt;0"), 1 / COUNT('regrets 4'!$B90:$F90))</f>
        <v>1</v>
      </c>
      <c r="D90" s="61"/>
      <c r="E90" s="62"/>
      <c r="F90" s="90"/>
      <c r="G90" s="60">
        <f>IF(SUMIF('regrets 4'!$G90:$K90, "&gt;0") &gt; 0, MAX('regrets 4'!G90, 0) / SUMIF('regrets 4'!$G90:$K90, "&gt;0"), 1 / COUNT('regrets 4'!$G90:$K90))</f>
        <v>0.5</v>
      </c>
      <c r="H90" s="60">
        <f>IF(SUMIF('regrets 4'!$G90:$K90, "&gt;0") &gt; 0, MAX('regrets 4'!H90, 0) / SUMIF('regrets 4'!$G90:$K90, "&gt;0"), 1 / COUNT('regrets 4'!$G90:$K90))</f>
        <v>0.5</v>
      </c>
      <c r="I90" s="61"/>
      <c r="J90" s="62"/>
      <c r="K90" s="90"/>
      <c r="L90" s="60">
        <f>IF(SUMIF('regrets 4'!$L90:$P90, "&gt;0") &gt; 0, MAX('regrets 4'!L90, 0) / SUMIF('regrets 4'!$L90:$P90, "&gt;0"), 1 / COUNT('regrets 4'!$L90:$P90))</f>
        <v>0.5</v>
      </c>
      <c r="M90" s="60">
        <f>IF(SUMIF('regrets 4'!$L90:$P90, "&gt;0") &gt; 0, MAX('regrets 4'!M90, 0) / SUMIF('regrets 4'!$L90:$P90, "&gt;0"), 1 / COUNT('regrets 4'!$L90:$P90))</f>
        <v>0.5</v>
      </c>
      <c r="N90" s="61"/>
      <c r="O90" s="62"/>
      <c r="P90" s="90"/>
      <c r="Q90" s="60">
        <f>IF(SUMIF('regrets 4'!$Q90:$U90, "&gt;0") &gt; 0, MAX('regrets 4'!Q90, 0) / SUMIF('regrets 4'!$Q90:$U90, "&gt;0"), 1 / COUNT('regrets 4'!$Q90:$U90))</f>
        <v>0.5</v>
      </c>
      <c r="R90" s="60">
        <f>IF(SUMIF('regrets 4'!$Q90:$U90, "&gt;0") &gt; 0, MAX('regrets 4'!R90, 0) / SUMIF('regrets 4'!$Q90:$U90, "&gt;0"), 1 / COUNT('regrets 4'!$Q90:$U90))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IF(SUMIF('regrets 4'!$B91:$F91, "&gt;0") &gt; 0, MAX('regrets 4'!C91, 0) / SUMIF('regrets 4'!$B91:$F91, "&gt;0"), 1 / COUNT('regrets 4'!$B91:$F91))</f>
        <v>0.5</v>
      </c>
      <c r="D91" s="61">
        <f>IF(SUMIF('regrets 4'!$B91:$F91, "&gt;0") &gt; 0, MAX('regrets 4'!D91, 0) / SUMIF('regrets 4'!$B91:$F91, "&gt;0"), 1 / COUNT('regrets 4'!$B91:$F91))</f>
        <v>0.5</v>
      </c>
      <c r="E91" s="62"/>
      <c r="F91" s="90"/>
      <c r="G91" s="60"/>
      <c r="H91" s="60">
        <f>IF(SUMIF('regrets 4'!$G91:$K91, "&gt;0") &gt; 0, MAX('regrets 4'!H91, 0) / SUMIF('regrets 4'!$G91:$K91, "&gt;0"), 1 / COUNT('regrets 4'!$G91:$K91))</f>
        <v>0.5</v>
      </c>
      <c r="I91" s="60">
        <f>IF(SUMIF('regrets 4'!$G91:$K91, "&gt;0") &gt; 0, MAX('regrets 4'!I91, 0) / SUMIF('regrets 4'!$G91:$K91, "&gt;0"), 1 / COUNT('regrets 4'!$G91:$K91))</f>
        <v>0.5</v>
      </c>
      <c r="J91" s="62"/>
      <c r="K91" s="90"/>
      <c r="L91" s="60"/>
      <c r="M91" s="60">
        <f>IF(SUMIF('regrets 4'!$L91:$P91, "&gt;0") &gt; 0, MAX('regrets 4'!M91, 0) / SUMIF('regrets 4'!$L91:$P91, "&gt;0"), 1 / COUNT('regrets 4'!$L91:$P91))</f>
        <v>0.5</v>
      </c>
      <c r="N91" s="60">
        <f>IF(SUMIF('regrets 4'!$L91:$P91, "&gt;0") &gt; 0, MAX('regrets 4'!N91, 0) / SUMIF('regrets 4'!$L91:$P91, "&gt;0"), 1 / COUNT('regrets 4'!$L91:$P91))</f>
        <v>0.5</v>
      </c>
      <c r="O91" s="62"/>
      <c r="P91" s="90"/>
      <c r="Q91" s="60"/>
      <c r="R91" s="60">
        <f>IF(SUMIF('regrets 4'!$Q91:$U91, "&gt;0") &gt; 0, MAX('regrets 4'!R91, 0) / SUMIF('regrets 4'!$Q91:$U91, "&gt;0"), 1 / COUNT('regrets 4'!$Q91:$U91))</f>
        <v>0.5</v>
      </c>
      <c r="S91" s="60">
        <f>IF(SUMIF('regrets 4'!$Q91:$U91, "&gt;0") &gt; 0, MAX('regrets 4'!S91, 0) / SUMIF('regrets 4'!$Q91:$U91, "&gt;0"), 1 / COUNT('regrets 4'!$Q91:$U91))</f>
        <v>0.5</v>
      </c>
      <c r="T91" s="62"/>
      <c r="U91" s="90"/>
    </row>
    <row r="92" spans="1:21" ht="20" customHeight="1" x14ac:dyDescent="0.15">
      <c r="A92" s="12">
        <v>23</v>
      </c>
      <c r="B92" s="61">
        <f>IF(SUMIF('regrets 4'!$B92:$F92, "&gt;0") &gt; 0, MAX('regrets 4'!B92, 0) / SUMIF('regrets 4'!$B92:$F92, "&gt;0"), 1 / COUNT('regrets 4'!$B92:$F92))</f>
        <v>0.5</v>
      </c>
      <c r="C92" s="61">
        <f>IF(SUMIF('regrets 4'!$B92:$F92, "&gt;0") &gt; 0, MAX('regrets 4'!C92, 0) / SUMIF('regrets 4'!$B92:$F92, "&gt;0"), 1 / COUNT('regrets 4'!$B92:$F92))</f>
        <v>0.5</v>
      </c>
      <c r="D92" s="61"/>
      <c r="E92" s="62"/>
      <c r="F92" s="90"/>
      <c r="G92" s="60">
        <f>IF(SUMIF('regrets 4'!$G92:$K92, "&gt;0") &gt; 0, MAX('regrets 4'!G92, 0) / SUMIF('regrets 4'!$G92:$K92, "&gt;0"), 1 / COUNT('regrets 4'!$G92:$K92))</f>
        <v>0.5</v>
      </c>
      <c r="H92" s="60">
        <f>IF(SUMIF('regrets 4'!$G92:$K92, "&gt;0") &gt; 0, MAX('regrets 4'!H92, 0) / SUMIF('regrets 4'!$G92:$K92, "&gt;0"), 1 / COUNT('regrets 4'!$G92:$K92))</f>
        <v>0.5</v>
      </c>
      <c r="I92" s="61"/>
      <c r="J92" s="62"/>
      <c r="K92" s="90"/>
      <c r="L92" s="60">
        <f>IF(SUMIF('regrets 4'!$L92:$P92, "&gt;0") &gt; 0, MAX('regrets 4'!L92, 0) / SUMIF('regrets 4'!$L92:$P92, "&gt;0"), 1 / COUNT('regrets 4'!$L92:$P92))</f>
        <v>0.5</v>
      </c>
      <c r="M92" s="60">
        <f>IF(SUMIF('regrets 4'!$L92:$P92, "&gt;0") &gt; 0, MAX('regrets 4'!M92, 0) / SUMIF('regrets 4'!$L92:$P92, "&gt;0"), 1 / COUNT('regrets 4'!$L92:$P92))</f>
        <v>0.5</v>
      </c>
      <c r="N92" s="61"/>
      <c r="O92" s="62"/>
      <c r="P92" s="90"/>
      <c r="Q92" s="60">
        <f>IF(SUMIF('regrets 4'!$Q92:$U92, "&gt;0") &gt; 0, MAX('regrets 4'!Q92, 0) / SUMIF('regrets 4'!$Q92:$U92, "&gt;0"), 1 / COUNT('regrets 4'!$Q92:$U92))</f>
        <v>0.5</v>
      </c>
      <c r="R92" s="60">
        <f>IF(SUMIF('regrets 4'!$Q92:$U92, "&gt;0") &gt; 0, MAX('regrets 4'!R92, 0) / SUMIF('regrets 4'!$Q92:$U92, "&gt;0"), 1 / COUNT('regrets 4'!$Q92:$U92))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IF(SUMIF('regrets 4'!$B93:$F93, "&gt;0") &gt; 0, MAX('regrets 4'!C93, 0) / SUMIF('regrets 4'!$B93:$F93, "&gt;0"), 1 / COUNT('regrets 4'!$B93:$F93))</f>
        <v>0.5</v>
      </c>
      <c r="D93" s="61">
        <f>IF(SUMIF('regrets 4'!$B93:$F93, "&gt;0") &gt; 0, MAX('regrets 4'!D93, 0) / SUMIF('regrets 4'!$B93:$F93, "&gt;0"), 1 / COUNT('regrets 4'!$B93:$F93))</f>
        <v>0.5</v>
      </c>
      <c r="E93" s="62"/>
      <c r="F93" s="90"/>
      <c r="G93" s="60"/>
      <c r="H93" s="60">
        <f>IF(SUMIF('regrets 4'!$G93:$K93, "&gt;0") &gt; 0, MAX('regrets 4'!H93, 0) / SUMIF('regrets 4'!$G93:$K93, "&gt;0"), 1 / COUNT('regrets 4'!$G93:$K93))</f>
        <v>0.5</v>
      </c>
      <c r="I93" s="60">
        <f>IF(SUMIF('regrets 4'!$G93:$K93, "&gt;0") &gt; 0, MAX('regrets 4'!I93, 0) / SUMIF('regrets 4'!$G93:$K93, "&gt;0"), 1 / COUNT('regrets 4'!$G93:$K93))</f>
        <v>0.5</v>
      </c>
      <c r="J93" s="62"/>
      <c r="K93" s="90"/>
      <c r="L93" s="60"/>
      <c r="M93" s="60">
        <f>IF(SUMIF('regrets 4'!$L93:$P93, "&gt;0") &gt; 0, MAX('regrets 4'!M93, 0) / SUMIF('regrets 4'!$L93:$P93, "&gt;0"), 1 / COUNT('regrets 4'!$L93:$P93))</f>
        <v>0.5</v>
      </c>
      <c r="N93" s="60">
        <f>IF(SUMIF('regrets 4'!$L93:$P93, "&gt;0") &gt; 0, MAX('regrets 4'!N93, 0) / SUMIF('regrets 4'!$L93:$P93, "&gt;0"), 1 / COUNT('regrets 4'!$L93:$P93))</f>
        <v>0.5</v>
      </c>
      <c r="O93" s="62"/>
      <c r="P93" s="90"/>
      <c r="Q93" s="60"/>
      <c r="R93" s="60">
        <f>IF(SUMIF('regrets 4'!$Q93:$U93, "&gt;0") &gt; 0, MAX('regrets 4'!R93, 0) / SUMIF('regrets 4'!$Q93:$U93, "&gt;0"), 1 / COUNT('regrets 4'!$Q93:$U93))</f>
        <v>0.5</v>
      </c>
      <c r="S93" s="60">
        <f>IF(SUMIF('regrets 4'!$Q93:$U93, "&gt;0") &gt; 0, MAX('regrets 4'!S93, 0) / SUMIF('regrets 4'!$Q93:$U93, "&gt;0"), 1 / COUNT('regrets 4'!$Q93:$U93))</f>
        <v>0.5</v>
      </c>
      <c r="T93" s="62"/>
      <c r="U93" s="90"/>
    </row>
    <row r="94" spans="1:21" ht="20" customHeight="1" x14ac:dyDescent="0.15">
      <c r="A94" s="12">
        <v>25</v>
      </c>
      <c r="B94" s="61">
        <f>IF(SUMIF('regrets 4'!$B94:$F94, "&gt;0") &gt; 0, MAX('regrets 4'!B94, 0) / SUMIF('regrets 4'!$B94:$F94, "&gt;0"), 1 / COUNT('regrets 4'!$B94:$F94))</f>
        <v>0.5</v>
      </c>
      <c r="C94" s="61">
        <f>IF(SUMIF('regrets 4'!$B94:$F94, "&gt;0") &gt; 0, MAX('regrets 4'!C94, 0) / SUMIF('regrets 4'!$B94:$F94, "&gt;0"), 1 / COUNT('regrets 4'!$B94:$F94))</f>
        <v>0.5</v>
      </c>
      <c r="D94" s="61"/>
      <c r="E94" s="62"/>
      <c r="F94" s="90"/>
      <c r="G94" s="60">
        <f>IF(SUMIF('regrets 4'!$G94:$K94, "&gt;0") &gt; 0, MAX('regrets 4'!G94, 0) / SUMIF('regrets 4'!$G94:$K94, "&gt;0"), 1 / COUNT('regrets 4'!$G94:$K94))</f>
        <v>0.5</v>
      </c>
      <c r="H94" s="60">
        <f>IF(SUMIF('regrets 4'!$G94:$K94, "&gt;0") &gt; 0, MAX('regrets 4'!H94, 0) / SUMIF('regrets 4'!$G94:$K94, "&gt;0"), 1 / COUNT('regrets 4'!$G94:$K94))</f>
        <v>0.5</v>
      </c>
      <c r="I94" s="61"/>
      <c r="J94" s="62"/>
      <c r="K94" s="90"/>
      <c r="L94" s="60">
        <f>IF(SUMIF('regrets 4'!$L94:$P94, "&gt;0") &gt; 0, MAX('regrets 4'!L94, 0) / SUMIF('regrets 4'!$L94:$P94, "&gt;0"), 1 / COUNT('regrets 4'!$L94:$P94))</f>
        <v>0.5</v>
      </c>
      <c r="M94" s="60">
        <f>IF(SUMIF('regrets 4'!$L94:$P94, "&gt;0") &gt; 0, MAX('regrets 4'!M94, 0) / SUMIF('regrets 4'!$L94:$P94, "&gt;0"), 1 / COUNT('regrets 4'!$L94:$P94))</f>
        <v>0.5</v>
      </c>
      <c r="N94" s="61"/>
      <c r="O94" s="62"/>
      <c r="P94" s="90"/>
      <c r="Q94" s="60">
        <f>IF(SUMIF('regrets 4'!$Q94:$U94, "&gt;0") &gt; 0, MAX('regrets 4'!Q94, 0) / SUMIF('regrets 4'!$Q94:$U94, "&gt;0"), 1 / COUNT('regrets 4'!$Q94:$U94))</f>
        <v>0.5</v>
      </c>
      <c r="R94" s="60">
        <f>IF(SUMIF('regrets 4'!$Q94:$U94, "&gt;0") &gt; 0, MAX('regrets 4'!R94, 0) / SUMIF('regrets 4'!$Q94:$U94, "&gt;0"), 1 / COUNT('regrets 4'!$Q94:$U94))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IF(SUMIF('regrets 4'!$B95:$F95, "&gt;0") &gt; 0, MAX('regrets 4'!B95, 0) / SUMIF('regrets 4'!$B95:$F95, "&gt;0"), 1 / COUNT('regrets 4'!$B95:$F95))</f>
        <v>0.5</v>
      </c>
      <c r="C95" s="61">
        <f>IF(SUMIF('regrets 4'!$B95:$F95, "&gt;0") &gt; 0, MAX('regrets 4'!C95, 0) / SUMIF('regrets 4'!$B95:$F95, "&gt;0"), 1 / COUNT('regrets 4'!$B95:$F95))</f>
        <v>0.5</v>
      </c>
      <c r="D95" s="61"/>
      <c r="E95" s="62"/>
      <c r="F95" s="90"/>
      <c r="G95" s="60">
        <f>IF(SUMIF('regrets 4'!$G95:$K95, "&gt;0") &gt; 0, MAX('regrets 4'!G95, 0) / SUMIF('regrets 4'!$G95:$K95, "&gt;0"), 1 / COUNT('regrets 4'!$G95:$K95))</f>
        <v>0.5</v>
      </c>
      <c r="H95" s="60">
        <f>IF(SUMIF('regrets 4'!$G95:$K95, "&gt;0") &gt; 0, MAX('regrets 4'!H95, 0) / SUMIF('regrets 4'!$G95:$K95, "&gt;0"), 1 / COUNT('regrets 4'!$G95:$K95))</f>
        <v>0.5</v>
      </c>
      <c r="I95" s="61"/>
      <c r="J95" s="62"/>
      <c r="K95" s="90"/>
      <c r="L95" s="60">
        <f>IF(SUMIF('regrets 4'!$L95:$P95, "&gt;0") &gt; 0, MAX('regrets 4'!L95, 0) / SUMIF('regrets 4'!$L95:$P95, "&gt;0"), 1 / COUNT('regrets 4'!$L95:$P95))</f>
        <v>0.5</v>
      </c>
      <c r="M95" s="60">
        <f>IF(SUMIF('regrets 4'!$L95:$P95, "&gt;0") &gt; 0, MAX('regrets 4'!M95, 0) / SUMIF('regrets 4'!$L95:$P95, "&gt;0"), 1 / COUNT('regrets 4'!$L95:$P95))</f>
        <v>0.5</v>
      </c>
      <c r="N95" s="61"/>
      <c r="O95" s="62"/>
      <c r="P95" s="90"/>
      <c r="Q95" s="60">
        <f>IF(SUMIF('regrets 4'!$Q95:$U95, "&gt;0") &gt; 0, MAX('regrets 4'!Q95, 0) / SUMIF('regrets 4'!$Q95:$U95, "&gt;0"), 1 / COUNT('regrets 4'!$Q95:$U95))</f>
        <v>0.5</v>
      </c>
      <c r="R95" s="60">
        <f>IF(SUMIF('regrets 4'!$Q95:$U95, "&gt;0") &gt; 0, MAX('regrets 4'!R95, 0) / SUMIF('regrets 4'!$Q95:$U95, "&gt;0"), 1 / COUNT('regrets 4'!$Q95:$U95))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IF(SUMIF('regrets 4'!$B96:$F96, "&gt;0") &gt; 0, MAX('regrets 4'!B96, 0) / SUMIF('regrets 4'!$B96:$F96, "&gt;0"), 1 / COUNT('regrets 4'!$B96:$F96))</f>
        <v>0.5</v>
      </c>
      <c r="C96" s="61">
        <f>IF(SUMIF('regrets 4'!$B96:$F96, "&gt;0") &gt; 0, MAX('regrets 4'!C96, 0) / SUMIF('regrets 4'!$B96:$F96, "&gt;0"), 1 / COUNT('regrets 4'!$B96:$F96))</f>
        <v>0.5</v>
      </c>
      <c r="D96" s="61"/>
      <c r="E96" s="62"/>
      <c r="F96" s="90"/>
      <c r="G96" s="60">
        <f>IF(SUMIF('regrets 4'!$G96:$K96, "&gt;0") &gt; 0, MAX('regrets 4'!G96, 0) / SUMIF('regrets 4'!$G96:$K96, "&gt;0"), 1 / COUNT('regrets 4'!$G96:$K96))</f>
        <v>0.5</v>
      </c>
      <c r="H96" s="60">
        <f>IF(SUMIF('regrets 4'!$G96:$K96, "&gt;0") &gt; 0, MAX('regrets 4'!H96, 0) / SUMIF('regrets 4'!$G96:$K96, "&gt;0"), 1 / COUNT('regrets 4'!$G96:$K96))</f>
        <v>0.5</v>
      </c>
      <c r="I96" s="61"/>
      <c r="J96" s="62"/>
      <c r="K96" s="90"/>
      <c r="L96" s="60">
        <f>IF(SUMIF('regrets 4'!$L96:$P96, "&gt;0") &gt; 0, MAX('regrets 4'!L96, 0) / SUMIF('regrets 4'!$L96:$P96, "&gt;0"), 1 / COUNT('regrets 4'!$L96:$P96))</f>
        <v>0.5</v>
      </c>
      <c r="M96" s="60">
        <f>IF(SUMIF('regrets 4'!$L96:$P96, "&gt;0") &gt; 0, MAX('regrets 4'!M96, 0) / SUMIF('regrets 4'!$L96:$P96, "&gt;0"), 1 / COUNT('regrets 4'!$L96:$P96))</f>
        <v>0.5</v>
      </c>
      <c r="N96" s="61"/>
      <c r="O96" s="62"/>
      <c r="P96" s="90"/>
      <c r="Q96" s="60">
        <f>IF(SUMIF('regrets 4'!$Q96:$U96, "&gt;0") &gt; 0, MAX('regrets 4'!Q96, 0) / SUMIF('regrets 4'!$Q96:$U96, "&gt;0"), 1 / COUNT('regrets 4'!$Q96:$U96))</f>
        <v>0.5</v>
      </c>
      <c r="R96" s="60">
        <f>IF(SUMIF('regrets 4'!$Q96:$U96, "&gt;0") &gt; 0, MAX('regrets 4'!R96, 0) / SUMIF('regrets 4'!$Q96:$U96, "&gt;0"), 1 / COUNT('regrets 4'!$Q96:$U96))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IF(SUMIF('regrets 4'!$B97:$F97, "&gt;0") &gt; 0, MAX('regrets 4'!C97, 0) / SUMIF('regrets 4'!$B97:$F97, "&gt;0"), 1 / COUNT('regrets 4'!$B97:$F97))</f>
        <v>0.5</v>
      </c>
      <c r="D97" s="61">
        <f>IF(SUMIF('regrets 4'!$B97:$F97, "&gt;0") &gt; 0, MAX('regrets 4'!D97, 0) / SUMIF('regrets 4'!$B97:$F97, "&gt;0"), 1 / COUNT('regrets 4'!$B97:$F97))</f>
        <v>0.5</v>
      </c>
      <c r="E97" s="62"/>
      <c r="F97" s="90"/>
      <c r="G97" s="60"/>
      <c r="H97" s="60">
        <f>IF(SUMIF('regrets 4'!$G97:$K97, "&gt;0") &gt; 0, MAX('regrets 4'!H97, 0) / SUMIF('regrets 4'!$G97:$K97, "&gt;0"), 1 / COUNT('regrets 4'!$G97:$K97))</f>
        <v>0.5</v>
      </c>
      <c r="I97" s="60">
        <f>IF(SUMIF('regrets 4'!$G97:$K97, "&gt;0") &gt; 0, MAX('regrets 4'!I97, 0) / SUMIF('regrets 4'!$G97:$K97, "&gt;0"), 1 / COUNT('regrets 4'!$G97:$K97))</f>
        <v>0.5</v>
      </c>
      <c r="J97" s="62"/>
      <c r="K97" s="90"/>
      <c r="L97" s="60"/>
      <c r="M97" s="60">
        <f>IF(SUMIF('regrets 4'!$L97:$P97, "&gt;0") &gt; 0, MAX('regrets 4'!M97, 0) / SUMIF('regrets 4'!$L97:$P97, "&gt;0"), 1 / COUNT('regrets 4'!$L97:$P97))</f>
        <v>0.5</v>
      </c>
      <c r="N97" s="60">
        <f>IF(SUMIF('regrets 4'!$L97:$P97, "&gt;0") &gt; 0, MAX('regrets 4'!N97, 0) / SUMIF('regrets 4'!$L97:$P97, "&gt;0"), 1 / COUNT('regrets 4'!$L97:$P97))</f>
        <v>0.5</v>
      </c>
      <c r="O97" s="62"/>
      <c r="P97" s="90"/>
      <c r="Q97" s="60"/>
      <c r="R97" s="60">
        <f>IF(SUMIF('regrets 4'!$Q97:$U97, "&gt;0") &gt; 0, MAX('regrets 4'!R97, 0) / SUMIF('regrets 4'!$Q97:$U97, "&gt;0"), 1 / COUNT('regrets 4'!$Q97:$U97))</f>
        <v>0.5</v>
      </c>
      <c r="S97" s="60">
        <f>IF(SUMIF('regrets 4'!$Q97:$U97, "&gt;0") &gt; 0, MAX('regrets 4'!S97, 0) / SUMIF('regrets 4'!$Q97:$U97, "&gt;0"), 1 / COUNT('regrets 4'!$Q97:$U97))</f>
        <v>0.5</v>
      </c>
      <c r="T97" s="62"/>
      <c r="U97" s="90"/>
    </row>
    <row r="98" spans="1:21" ht="20" customHeight="1" x14ac:dyDescent="0.15">
      <c r="A98" s="12">
        <v>29</v>
      </c>
      <c r="B98" s="61">
        <f>IF(SUMIF('regrets 4'!$B98:$F98, "&gt;0") &gt; 0, MAX('regrets 4'!B98, 0) / SUMIF('regrets 4'!$B98:$F98, "&gt;0"), 1 / COUNT('regrets 4'!$B98:$F98))</f>
        <v>0.5</v>
      </c>
      <c r="C98" s="61">
        <f>IF(SUMIF('regrets 4'!$B98:$F98, "&gt;0") &gt; 0, MAX('regrets 4'!C98, 0) / SUMIF('regrets 4'!$B98:$F98, "&gt;0"), 1 / COUNT('regrets 4'!$B98:$F98))</f>
        <v>0.5</v>
      </c>
      <c r="D98" s="61"/>
      <c r="E98" s="62"/>
      <c r="F98" s="90"/>
      <c r="G98" s="60">
        <f>IF(SUMIF('regrets 4'!$G98:$K98, "&gt;0") &gt; 0, MAX('regrets 4'!G98, 0) / SUMIF('regrets 4'!$G98:$K98, "&gt;0"), 1 / COUNT('regrets 4'!$G98:$K98))</f>
        <v>0.5</v>
      </c>
      <c r="H98" s="60">
        <f>IF(SUMIF('regrets 4'!$G98:$K98, "&gt;0") &gt; 0, MAX('regrets 4'!H98, 0) / SUMIF('regrets 4'!$G98:$K98, "&gt;0"), 1 / COUNT('regrets 4'!$G98:$K98))</f>
        <v>0.5</v>
      </c>
      <c r="I98" s="61"/>
      <c r="J98" s="62"/>
      <c r="K98" s="90"/>
      <c r="L98" s="60">
        <f>IF(SUMIF('regrets 4'!$L98:$P98, "&gt;0") &gt; 0, MAX('regrets 4'!L98, 0) / SUMIF('regrets 4'!$L98:$P98, "&gt;0"), 1 / COUNT('regrets 4'!$L98:$P98))</f>
        <v>0.5</v>
      </c>
      <c r="M98" s="60">
        <f>IF(SUMIF('regrets 4'!$L98:$P98, "&gt;0") &gt; 0, MAX('regrets 4'!M98, 0) / SUMIF('regrets 4'!$L98:$P98, "&gt;0"), 1 / COUNT('regrets 4'!$L98:$P98))</f>
        <v>0.5</v>
      </c>
      <c r="N98" s="61"/>
      <c r="O98" s="62"/>
      <c r="P98" s="90"/>
      <c r="Q98" s="60">
        <f>IF(SUMIF('regrets 4'!$Q98:$U98, "&gt;0") &gt; 0, MAX('regrets 4'!Q98, 0) / SUMIF('regrets 4'!$Q98:$U98, "&gt;0"), 1 / COUNT('regrets 4'!$Q98:$U98))</f>
        <v>0.5</v>
      </c>
      <c r="R98" s="60">
        <f>IF(SUMIF('regrets 4'!$Q98:$U98, "&gt;0") &gt; 0, MAX('regrets 4'!R98, 0) / SUMIF('regrets 4'!$Q98:$U98, "&gt;0"), 1 / COUNT('regrets 4'!$Q98:$U98))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IF(SUMIF('regrets 4'!$B99:$F99, "&gt;0") &gt; 0, MAX('regrets 4'!B99, 0) / SUMIF('regrets 4'!$B99:$F99, "&gt;0"), 1 / COUNT('regrets 4'!$B99:$F99))</f>
        <v>0.5</v>
      </c>
      <c r="C99" s="61">
        <f>IF(SUMIF('regrets 4'!$B99:$F99, "&gt;0") &gt; 0, MAX('regrets 4'!C99, 0) / SUMIF('regrets 4'!$B99:$F99, "&gt;0"), 1 / COUNT('regrets 4'!$B99:$F99))</f>
        <v>0.5</v>
      </c>
      <c r="D99" s="61"/>
      <c r="E99" s="62"/>
      <c r="F99" s="90"/>
      <c r="G99" s="60">
        <f>IF(SUMIF('regrets 4'!$G99:$K99, "&gt;0") &gt; 0, MAX('regrets 4'!G99, 0) / SUMIF('regrets 4'!$G99:$K99, "&gt;0"), 1 / COUNT('regrets 4'!$G99:$K99))</f>
        <v>0.5</v>
      </c>
      <c r="H99" s="60">
        <f>IF(SUMIF('regrets 4'!$G99:$K99, "&gt;0") &gt; 0, MAX('regrets 4'!H99, 0) / SUMIF('regrets 4'!$G99:$K99, "&gt;0"), 1 / COUNT('regrets 4'!$G99:$K99))</f>
        <v>0.5</v>
      </c>
      <c r="I99" s="61"/>
      <c r="J99" s="62"/>
      <c r="K99" s="90"/>
      <c r="L99" s="60">
        <f>IF(SUMIF('regrets 4'!$L99:$P99, "&gt;0") &gt; 0, MAX('regrets 4'!L99, 0) / SUMIF('regrets 4'!$L99:$P99, "&gt;0"), 1 / COUNT('regrets 4'!$L99:$P99))</f>
        <v>0.5</v>
      </c>
      <c r="M99" s="60">
        <f>IF(SUMIF('regrets 4'!$L99:$P99, "&gt;0") &gt; 0, MAX('regrets 4'!M99, 0) / SUMIF('regrets 4'!$L99:$P99, "&gt;0"), 1 / COUNT('regrets 4'!$L99:$P99))</f>
        <v>0.5</v>
      </c>
      <c r="N99" s="61"/>
      <c r="O99" s="62"/>
      <c r="P99" s="90"/>
      <c r="Q99" s="60">
        <f>IF(SUMIF('regrets 4'!$Q99:$U99, "&gt;0") &gt; 0, MAX('regrets 4'!Q99, 0) / SUMIF('regrets 4'!$Q99:$U99, "&gt;0"), 1 / COUNT('regrets 4'!$Q99:$U99))</f>
        <v>0.5</v>
      </c>
      <c r="R99" s="60">
        <f>IF(SUMIF('regrets 4'!$Q99:$U99, "&gt;0") &gt; 0, MAX('regrets 4'!R99, 0) / SUMIF('regrets 4'!$Q99:$U99, "&gt;0"), 1 / COUNT('regrets 4'!$Q99:$U99))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IF(SUMIF('regrets 4'!$B100:$F100, "&gt;0") &gt; 0, MAX('regrets 4'!B100, 0) / SUMIF('regrets 4'!$B100:$F100, "&gt;0"), 1 / COUNT('regrets 4'!$B100:$F100))</f>
        <v>0.5</v>
      </c>
      <c r="C100" s="61">
        <f>IF(SUMIF('regrets 4'!$B100:$F100, "&gt;0") &gt; 0, MAX('regrets 4'!C100, 0) / SUMIF('regrets 4'!$B100:$F100, "&gt;0"), 1 / COUNT('regrets 4'!$B100:$F100))</f>
        <v>0.5</v>
      </c>
      <c r="D100" s="61"/>
      <c r="E100" s="62"/>
      <c r="F100" s="90"/>
      <c r="G100" s="60">
        <f>IF(SUMIF('regrets 4'!$G100:$K100, "&gt;0") &gt; 0, MAX('regrets 4'!G100, 0) / SUMIF('regrets 4'!$G100:$K100, "&gt;0"), 1 / COUNT('regrets 4'!$G100:$K100))</f>
        <v>0.5</v>
      </c>
      <c r="H100" s="60">
        <f>IF(SUMIF('regrets 4'!$G100:$K100, "&gt;0") &gt; 0, MAX('regrets 4'!H100, 0) / SUMIF('regrets 4'!$G100:$K100, "&gt;0"), 1 / COUNT('regrets 4'!$G100:$K100))</f>
        <v>0.5</v>
      </c>
      <c r="I100" s="61"/>
      <c r="J100" s="62"/>
      <c r="K100" s="90"/>
      <c r="L100" s="60">
        <f>IF(SUMIF('regrets 4'!$L100:$P100, "&gt;0") &gt; 0, MAX('regrets 4'!L100, 0) / SUMIF('regrets 4'!$L100:$P100, "&gt;0"), 1 / COUNT('regrets 4'!$L100:$P100))</f>
        <v>0.5</v>
      </c>
      <c r="M100" s="60">
        <f>IF(SUMIF('regrets 4'!$L100:$P100, "&gt;0") &gt; 0, MAX('regrets 4'!M100, 0) / SUMIF('regrets 4'!$L100:$P100, "&gt;0"), 1 / COUNT('regrets 4'!$L100:$P100))</f>
        <v>0.5</v>
      </c>
      <c r="N100" s="61"/>
      <c r="O100" s="62"/>
      <c r="P100" s="90"/>
      <c r="Q100" s="60">
        <f>IF(SUMIF('regrets 4'!$Q100:$U100, "&gt;0") &gt; 0, MAX('regrets 4'!Q100, 0) / SUMIF('regrets 4'!$Q100:$U100, "&gt;0"), 1 / COUNT('regrets 4'!$Q100:$U100))</f>
        <v>0.5</v>
      </c>
      <c r="R100" s="60">
        <f>IF(SUMIF('regrets 4'!$Q100:$U100, "&gt;0") &gt; 0, MAX('regrets 4'!R100, 0) / SUMIF('regrets 4'!$Q100:$U100, "&gt;0"), 1 / COUNT('regrets 4'!$Q100:$U100))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IF(SUMIF('regrets 4'!$B101:$F101, "&gt;0") &gt; 0, MAX('regrets 4'!C101, 0) / SUMIF('regrets 4'!$B101:$F101, "&gt;0"), 1 / COUNT('regrets 4'!$B101:$F101))</f>
        <v>0.5</v>
      </c>
      <c r="D101" s="61">
        <f>IF(SUMIF('regrets 4'!$B101:$F101, "&gt;0") &gt; 0, MAX('regrets 4'!D101, 0) / SUMIF('regrets 4'!$B101:$F101, "&gt;0"), 1 / COUNT('regrets 4'!$B101:$F101))</f>
        <v>0.5</v>
      </c>
      <c r="E101" s="62"/>
      <c r="F101" s="90"/>
      <c r="G101" s="60"/>
      <c r="H101" s="60">
        <f>IF(SUMIF('regrets 4'!$G101:$K101, "&gt;0") &gt; 0, MAX('regrets 4'!H101, 0) / SUMIF('regrets 4'!$G101:$K101, "&gt;0"), 1 / COUNT('regrets 4'!$G101:$K101))</f>
        <v>0.5</v>
      </c>
      <c r="I101" s="60">
        <f>IF(SUMIF('regrets 4'!$G101:$K101, "&gt;0") &gt; 0, MAX('regrets 4'!I101, 0) / SUMIF('regrets 4'!$G101:$K101, "&gt;0"), 1 / COUNT('regrets 4'!$G101:$K101))</f>
        <v>0.5</v>
      </c>
      <c r="J101" s="62"/>
      <c r="K101" s="90"/>
      <c r="L101" s="60"/>
      <c r="M101" s="60">
        <f>IF(SUMIF('regrets 4'!$L101:$P101, "&gt;0") &gt; 0, MAX('regrets 4'!M101, 0) / SUMIF('regrets 4'!$L101:$P101, "&gt;0"), 1 / COUNT('regrets 4'!$L101:$P101))</f>
        <v>0.5</v>
      </c>
      <c r="N101" s="60">
        <f>IF(SUMIF('regrets 4'!$L101:$P101, "&gt;0") &gt; 0, MAX('regrets 4'!N101, 0) / SUMIF('regrets 4'!$L101:$P101, "&gt;0"), 1 / COUNT('regrets 4'!$L101:$P101))</f>
        <v>0.5</v>
      </c>
      <c r="O101" s="62"/>
      <c r="P101" s="90"/>
      <c r="Q101" s="60"/>
      <c r="R101" s="60">
        <f>IF(SUMIF('regrets 4'!$Q101:$U101, "&gt;0") &gt; 0, MAX('regrets 4'!R101, 0) / SUMIF('regrets 4'!$Q101:$U101, "&gt;0"), 1 / COUNT('regrets 4'!$Q101:$U101))</f>
        <v>0.5</v>
      </c>
      <c r="S101" s="60">
        <f>IF(SUMIF('regrets 4'!$Q101:$U101, "&gt;0") &gt; 0, MAX('regrets 4'!S101, 0) / SUMIF('regrets 4'!$Q101:$U101, "&gt;0"), 1 / COUNT('regrets 4'!$Q101:$U101))</f>
        <v>0.5</v>
      </c>
      <c r="T101" s="62"/>
      <c r="U101" s="90"/>
    </row>
    <row r="102" spans="1:21" ht="20" customHeight="1" x14ac:dyDescent="0.15">
      <c r="A102" s="12">
        <v>33</v>
      </c>
      <c r="B102" s="61">
        <f>IF(SUMIF('regrets 4'!$B102:$F102, "&gt;0") &gt; 0, MAX('regrets 4'!B102, 0) / SUMIF('regrets 4'!$B102:$F102, "&gt;0"), 1 / COUNT('regrets 4'!$B102:$F102))</f>
        <v>0.5</v>
      </c>
      <c r="C102" s="61">
        <f>IF(SUMIF('regrets 4'!$B102:$F102, "&gt;0") &gt; 0, MAX('regrets 4'!C102, 0) / SUMIF('regrets 4'!$B102:$F102, "&gt;0"), 1 / COUNT('regrets 4'!$B102:$F102))</f>
        <v>0.5</v>
      </c>
      <c r="D102" s="61"/>
      <c r="E102" s="62"/>
      <c r="F102" s="90"/>
      <c r="G102" s="60">
        <f>IF(SUMIF('regrets 4'!$G102:$K102, "&gt;0") &gt; 0, MAX('regrets 4'!G102, 0) / SUMIF('regrets 4'!$G102:$K102, "&gt;0"), 1 / COUNT('regrets 4'!$G102:$K102))</f>
        <v>0.5</v>
      </c>
      <c r="H102" s="60">
        <f>IF(SUMIF('regrets 4'!$G102:$K102, "&gt;0") &gt; 0, MAX('regrets 4'!H102, 0) / SUMIF('regrets 4'!$G102:$K102, "&gt;0"), 1 / COUNT('regrets 4'!$G102:$K102))</f>
        <v>0.5</v>
      </c>
      <c r="I102" s="61"/>
      <c r="J102" s="62"/>
      <c r="K102" s="90"/>
      <c r="L102" s="60">
        <f>IF(SUMIF('regrets 4'!$L102:$P102, "&gt;0") &gt; 0, MAX('regrets 4'!L102, 0) / SUMIF('regrets 4'!$L102:$P102, "&gt;0"), 1 / COUNT('regrets 4'!$L102:$P102))</f>
        <v>0.5</v>
      </c>
      <c r="M102" s="60">
        <f>IF(SUMIF('regrets 4'!$L102:$P102, "&gt;0") &gt; 0, MAX('regrets 4'!M102, 0) / SUMIF('regrets 4'!$L102:$P102, "&gt;0"), 1 / COUNT('regrets 4'!$L102:$P102))</f>
        <v>0.5</v>
      </c>
      <c r="N102" s="61"/>
      <c r="O102" s="62"/>
      <c r="P102" s="90"/>
      <c r="Q102" s="60">
        <f>IF(SUMIF('regrets 4'!$Q102:$U102, "&gt;0") &gt; 0, MAX('regrets 4'!Q102, 0) / SUMIF('regrets 4'!$Q102:$U102, "&gt;0"), 1 / COUNT('regrets 4'!$Q102:$U102))</f>
        <v>0.5</v>
      </c>
      <c r="R102" s="60">
        <f>IF(SUMIF('regrets 4'!$Q102:$U102, "&gt;0") &gt; 0, MAX('regrets 4'!R102, 0) / SUMIF('regrets 4'!$Q102:$U102, "&gt;0"), 1 / COUNT('regrets 4'!$Q102:$U102))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IF(SUMIF('regrets 4'!$B103:$F103, "&gt;0") &gt; 0, MAX('regrets 4'!B103, 0) / SUMIF('regrets 4'!$B103:$F103, "&gt;0"), 1 / COUNT('regrets 4'!$B103:$F103))</f>
        <v>0.5</v>
      </c>
      <c r="C103" s="61">
        <f>IF(SUMIF('regrets 4'!$B103:$F103, "&gt;0") &gt; 0, MAX('regrets 4'!C103, 0) / SUMIF('regrets 4'!$B103:$F103, "&gt;0"), 1 / COUNT('regrets 4'!$B103:$F103))</f>
        <v>0.5</v>
      </c>
      <c r="D103" s="61"/>
      <c r="E103" s="62"/>
      <c r="F103" s="90"/>
      <c r="G103" s="60">
        <f>IF(SUMIF('regrets 4'!$G103:$K103, "&gt;0") &gt; 0, MAX('regrets 4'!G103, 0) / SUMIF('regrets 4'!$G103:$K103, "&gt;0"), 1 / COUNT('regrets 4'!$G103:$K103))</f>
        <v>0.5</v>
      </c>
      <c r="H103" s="60">
        <f>IF(SUMIF('regrets 4'!$G103:$K103, "&gt;0") &gt; 0, MAX('regrets 4'!H103, 0) / SUMIF('regrets 4'!$G103:$K103, "&gt;0"), 1 / COUNT('regrets 4'!$G103:$K103))</f>
        <v>0.5</v>
      </c>
      <c r="I103" s="61"/>
      <c r="J103" s="62"/>
      <c r="K103" s="90"/>
      <c r="L103" s="60">
        <f>IF(SUMIF('regrets 4'!$L103:$P103, "&gt;0") &gt; 0, MAX('regrets 4'!L103, 0) / SUMIF('regrets 4'!$L103:$P103, "&gt;0"), 1 / COUNT('regrets 4'!$L103:$P103))</f>
        <v>0.5</v>
      </c>
      <c r="M103" s="60">
        <f>IF(SUMIF('regrets 4'!$L103:$P103, "&gt;0") &gt; 0, MAX('regrets 4'!M103, 0) / SUMIF('regrets 4'!$L103:$P103, "&gt;0"), 1 / COUNT('regrets 4'!$L103:$P103))</f>
        <v>0.5</v>
      </c>
      <c r="N103" s="61"/>
      <c r="O103" s="62"/>
      <c r="P103" s="90"/>
      <c r="Q103" s="60">
        <f>IF(SUMIF('regrets 4'!$Q103:$U103, "&gt;0") &gt; 0, MAX('regrets 4'!Q103, 0) / SUMIF('regrets 4'!$Q103:$U103, "&gt;0"), 1 / COUNT('regrets 4'!$Q103:$U103))</f>
        <v>0.5</v>
      </c>
      <c r="R103" s="60">
        <f>IF(SUMIF('regrets 4'!$Q103:$U103, "&gt;0") &gt; 0, MAX('regrets 4'!R103, 0) / SUMIF('regrets 4'!$Q103:$U103, "&gt;0"), 1 / COUNT('regrets 4'!$Q103:$U103))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IF(SUMIF('regrets 4'!$B104:$F104, "&gt;0") &gt; 0, MAX('regrets 4'!B104, 0) / SUMIF('regrets 4'!$B104:$F104, "&gt;0"), 1 / COUNT('regrets 4'!$B104:$F104))</f>
        <v>0.5</v>
      </c>
      <c r="C104" s="61">
        <f>IF(SUMIF('regrets 4'!$B104:$F104, "&gt;0") &gt; 0, MAX('regrets 4'!C104, 0) / SUMIF('regrets 4'!$B104:$F104, "&gt;0"), 1 / COUNT('regrets 4'!$B104:$F104))</f>
        <v>0.5</v>
      </c>
      <c r="D104" s="61"/>
      <c r="E104" s="62"/>
      <c r="F104" s="90"/>
      <c r="G104" s="60">
        <f>IF(SUMIF('regrets 4'!$G104:$K104, "&gt;0") &gt; 0, MAX('regrets 4'!G104, 0) / SUMIF('regrets 4'!$G104:$K104, "&gt;0"), 1 / COUNT('regrets 4'!$G104:$K104))</f>
        <v>0.5</v>
      </c>
      <c r="H104" s="60">
        <f>IF(SUMIF('regrets 4'!$G104:$K104, "&gt;0") &gt; 0, MAX('regrets 4'!H104, 0) / SUMIF('regrets 4'!$G104:$K104, "&gt;0"), 1 / COUNT('regrets 4'!$G104:$K104))</f>
        <v>0.5</v>
      </c>
      <c r="I104" s="61"/>
      <c r="J104" s="62"/>
      <c r="K104" s="90"/>
      <c r="L104" s="60">
        <f>IF(SUMIF('regrets 4'!$L104:$P104, "&gt;0") &gt; 0, MAX('regrets 4'!L104, 0) / SUMIF('regrets 4'!$L104:$P104, "&gt;0"), 1 / COUNT('regrets 4'!$L104:$P104))</f>
        <v>0.5</v>
      </c>
      <c r="M104" s="60">
        <f>IF(SUMIF('regrets 4'!$L104:$P104, "&gt;0") &gt; 0, MAX('regrets 4'!M104, 0) / SUMIF('regrets 4'!$L104:$P104, "&gt;0"), 1 / COUNT('regrets 4'!$L104:$P104))</f>
        <v>0.5</v>
      </c>
      <c r="N104" s="61"/>
      <c r="O104" s="62"/>
      <c r="P104" s="90"/>
      <c r="Q104" s="60">
        <f>IF(SUMIF('regrets 4'!$Q104:$U104, "&gt;0") &gt; 0, MAX('regrets 4'!Q104, 0) / SUMIF('regrets 4'!$Q104:$U104, "&gt;0"), 1 / COUNT('regrets 4'!$Q104:$U104))</f>
        <v>0.5</v>
      </c>
      <c r="R104" s="60">
        <f>IF(SUMIF('regrets 4'!$Q104:$U104, "&gt;0") &gt; 0, MAX('regrets 4'!R104, 0) / SUMIF('regrets 4'!$Q104:$U104, "&gt;0"), 1 / COUNT('regrets 4'!$Q104:$U104))</f>
        <v>0.5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G4" sqref="G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102">
        <v>1</v>
      </c>
      <c r="H1" s="97"/>
      <c r="I1" s="97"/>
      <c r="J1" s="97"/>
      <c r="K1" s="98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f>6633</f>
        <v>6633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-10000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K4" sqref="K4:M21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20" customHeight="1" x14ac:dyDescent="0.15">
      <c r="A2" s="71"/>
      <c r="B2" s="96">
        <v>0</v>
      </c>
      <c r="C2" s="97"/>
      <c r="D2" s="104"/>
      <c r="E2" s="105">
        <v>1</v>
      </c>
      <c r="F2" s="97"/>
      <c r="G2" s="104"/>
      <c r="H2" s="105">
        <v>2</v>
      </c>
      <c r="I2" s="97"/>
      <c r="J2" s="104"/>
      <c r="K2" s="105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20" customHeight="1" x14ac:dyDescent="0.15">
      <c r="A2" s="3"/>
      <c r="B2" s="96">
        <v>0</v>
      </c>
      <c r="C2" s="97"/>
      <c r="D2" s="104"/>
      <c r="E2" s="105">
        <v>1</v>
      </c>
      <c r="F2" s="97"/>
      <c r="G2" s="104"/>
      <c r="H2" s="105">
        <v>2</v>
      </c>
      <c r="I2" s="97"/>
      <c r="J2" s="104"/>
      <c r="K2" s="105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B6" sqref="B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sheetProtection sheet="1" objects="1" scenarios="1"/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regrets probs avg</vt:lpstr>
      <vt:lpstr>regrets 6 probs</vt:lpstr>
      <vt:lpstr>regrets 6</vt:lpstr>
      <vt:lpstr>regrets 4 probs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2021-10-29T19:40:40Z</dcterms:modified>
</cp:coreProperties>
</file>