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4D295331-D5A5-8B49-88E3-7D01DF9B026E}" xr6:coauthVersionLast="47" xr6:coauthVersionMax="47" xr10:uidLastSave="{00000000-0000-0000-0000-000000000000}"/>
  <bookViews>
    <workbookView xWindow="20" yWindow="20" windowWidth="25600" windowHeight="16000" activeTab="1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5" l="1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<sst xmlns="http://schemas.openxmlformats.org/spreadsheetml/2006/main" count="186" uniqueCount="18">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</sst>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3" fillId="0" borderId="28" xfId="0" applyFont="1" applyBorder="1" applyAlignment="1">
      <alignment vertical="top" wrapText="1"/>
    </xf>
    <xf numFmtId="0" fontId="3" fillId="0" borderId="29" xfId="0" applyFont="1" applyBorder="1" applyAlignment="1">
      <alignment vertical="top" wrapText="1"/>
    </xf>
    <xf numFmtId="0" fontId="3" fillId="0" borderId="25" xfId="0" applyNumberFormat="1" applyFont="1" applyBorder="1" applyAlignment="1">
      <alignment vertical="top" wrapText="1"/>
    </xf>
    <xf numFmtId="0" fontId="3" fillId="0" borderId="16" xfId="0" applyNumberFormat="1" applyFont="1" applyBorder="1" applyAlignment="1">
      <alignment vertical="top" wrapText="1"/>
    </xf>
    <xf numFmtId="0" fontId="3" fillId="0" borderId="30" xfId="0" applyFont="1" applyBorder="1" applyAlignment="1">
      <alignment vertical="top" wrapText="1"/>
    </xf>
    <xf numFmtId="0" fontId="3" fillId="0" borderId="20" xfId="0" applyNumberFormat="1" applyFont="1" applyBorder="1" applyAlignment="1">
      <alignment vertical="top" wrapText="1"/>
    </xf>
    <xf numFmtId="0" fontId="3" fillId="0" borderId="31" xfId="0" applyNumberFormat="1" applyFont="1" applyBorder="1" applyAlignment="1">
      <alignment vertical="top" wrapText="1"/>
    </xf>
    <xf numFmtId="0" fontId="3" fillId="0" borderId="26" xfId="0" applyNumberFormat="1" applyFont="1" applyBorder="1" applyAlignment="1">
      <alignment vertical="top" wrapText="1"/>
    </xf>
    <xf numFmtId="0" fontId="3" fillId="0" borderId="26" xfId="0" applyFont="1" applyBorder="1" applyAlignment="1">
      <alignment vertical="top" wrapText="1"/>
    </xf>
    <xf numFmtId="0" fontId="3" fillId="0" borderId="31" xfId="0" applyFont="1" applyBorder="1" applyAlignment="1">
      <alignment vertical="top" wrapText="1"/>
    </xf>
    <xf numFmtId="0" fontId="3" fillId="0" borderId="29" xfId="0" applyNumberFormat="1" applyFont="1" applyBorder="1" applyAlignment="1">
      <alignment vertical="top" wrapText="1"/>
    </xf>
    <xf numFmtId="0" fontId="3" fillId="0" borderId="24" xfId="0" applyFont="1" applyBorder="1">
      <alignment vertical="top" wrapText="1"/>
    </xf>
    <xf numFmtId="0" fontId="3" fillId="0" borderId="1" xfId="0" applyFont="1" applyBorder="1">
      <alignment vertical="top" wrapText="1"/>
    </xf>
    <xf numFmtId="0" fontId="3" fillId="0" borderId="15" xfId="0" applyNumberFormat="1" applyFont="1" applyBorder="1" applyAlignment="1">
      <alignment vertical="top" wrapText="1"/>
    </xf>
    <xf numFmtId="0" fontId="3" fillId="0" borderId="30" xfId="0" applyNumberFormat="1" applyFont="1" applyBorder="1" applyAlignment="1">
      <alignment vertical="top" wrapText="1"/>
    </xf>
    <xf numFmtId="0" fontId="3" fillId="0" borderId="25" xfId="0" applyFont="1" applyBorder="1" applyAlignment="1">
      <alignment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75" zoomScaleNormal="90" workbookViewId="0">
      <pane xSplit="1" ySplit="2" topLeftCell="B3" activePane="bottomRight" state="frozen"/>
      <selection pane="topRight"/>
      <selection pane="bottomLeft"/>
      <selection pane="bottomRight" activeCell="H17" sqref="H17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80">
        <v>0</v>
      </c>
      <c r="C1" s="81"/>
      <c r="D1" s="81"/>
      <c r="E1" s="81"/>
      <c r="F1" s="82"/>
      <c r="G1" s="83">
        <v>1</v>
      </c>
      <c r="H1" s="81"/>
      <c r="I1" s="81"/>
      <c r="J1" s="81"/>
      <c r="K1" s="82"/>
      <c r="L1" s="83">
        <v>2</v>
      </c>
      <c r="M1" s="81"/>
      <c r="N1" s="81"/>
      <c r="O1" s="81"/>
      <c r="P1" s="82"/>
      <c r="Q1" s="83">
        <v>3</v>
      </c>
      <c r="R1" s="81"/>
      <c r="S1" s="81"/>
      <c r="T1" s="81"/>
      <c r="U1" s="82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58"/>
      <c r="F3" s="87"/>
      <c r="G3" s="64">
        <f>-4983+5032</f>
        <v>49</v>
      </c>
      <c r="H3" s="65">
        <f>17+5182</f>
        <v>5199</v>
      </c>
      <c r="I3" s="65">
        <f>4967+-18</f>
        <v>4949</v>
      </c>
      <c r="J3" s="58"/>
      <c r="K3" s="87"/>
      <c r="L3" s="64">
        <v>0</v>
      </c>
      <c r="M3" s="65">
        <v>0</v>
      </c>
      <c r="N3" s="65">
        <v>0</v>
      </c>
      <c r="O3" s="58"/>
      <c r="P3" s="87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87"/>
    </row>
    <row r="4" spans="1:21" ht="20" customHeight="1" x14ac:dyDescent="0.15">
      <c r="A4" s="12">
        <v>1</v>
      </c>
      <c r="B4" s="60">
        <v>0</v>
      </c>
      <c r="C4" s="61">
        <v>0</v>
      </c>
      <c r="D4" s="61">
        <v>0</v>
      </c>
      <c r="E4" s="62"/>
      <c r="F4" s="88"/>
      <c r="G4" s="60">
        <v>0</v>
      </c>
      <c r="H4" s="61">
        <v>0</v>
      </c>
      <c r="I4" s="61">
        <v>0</v>
      </c>
      <c r="J4" s="62"/>
      <c r="K4" s="88"/>
      <c r="L4" s="60">
        <v>2458</v>
      </c>
      <c r="M4" s="61">
        <v>-7492</v>
      </c>
      <c r="N4" s="61">
        <v>5033</v>
      </c>
      <c r="O4" s="62"/>
      <c r="P4" s="88"/>
      <c r="Q4" s="60">
        <v>0</v>
      </c>
      <c r="R4" s="61">
        <v>0</v>
      </c>
      <c r="S4" s="61">
        <v>0</v>
      </c>
      <c r="T4" s="62"/>
      <c r="U4" s="88"/>
    </row>
    <row r="5" spans="1:21" ht="20" customHeight="1" x14ac:dyDescent="0.15">
      <c r="A5" s="12">
        <v>2</v>
      </c>
      <c r="B5" s="60">
        <v>0</v>
      </c>
      <c r="C5" s="61">
        <v>0</v>
      </c>
      <c r="D5" s="61"/>
      <c r="E5" s="62"/>
      <c r="F5" s="88"/>
      <c r="G5" s="60">
        <v>0</v>
      </c>
      <c r="H5" s="61">
        <v>0</v>
      </c>
      <c r="I5" s="61"/>
      <c r="J5" s="62"/>
      <c r="K5" s="88"/>
      <c r="L5" s="60">
        <v>0</v>
      </c>
      <c r="M5" s="61">
        <v>0</v>
      </c>
      <c r="N5" s="61"/>
      <c r="O5" s="62"/>
      <c r="P5" s="88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88"/>
    </row>
    <row r="6" spans="1:21" ht="20" customHeight="1" x14ac:dyDescent="0.15">
      <c r="A6" s="12">
        <v>3</v>
      </c>
      <c r="B6" s="60"/>
      <c r="C6" s="61">
        <v>0</v>
      </c>
      <c r="D6" s="61">
        <v>0</v>
      </c>
      <c r="E6" s="62"/>
      <c r="F6" s="88"/>
      <c r="G6" s="60"/>
      <c r="H6" s="61">
        <v>0</v>
      </c>
      <c r="I6" s="61">
        <v>0</v>
      </c>
      <c r="J6" s="62"/>
      <c r="K6" s="88"/>
      <c r="L6" s="60"/>
      <c r="M6" s="61">
        <v>0</v>
      </c>
      <c r="N6" s="61">
        <v>0</v>
      </c>
      <c r="O6" s="62"/>
      <c r="P6" s="88"/>
      <c r="Q6" s="60"/>
      <c r="R6" s="61">
        <v>0</v>
      </c>
      <c r="S6" s="61">
        <v>0</v>
      </c>
      <c r="T6" s="62"/>
      <c r="U6" s="88"/>
    </row>
    <row r="7" spans="1:21" ht="20" customHeight="1" x14ac:dyDescent="0.15">
      <c r="A7" s="12">
        <v>4</v>
      </c>
      <c r="B7" s="60">
        <v>0</v>
      </c>
      <c r="C7" s="61">
        <v>0</v>
      </c>
      <c r="D7" s="61"/>
      <c r="E7" s="62"/>
      <c r="F7" s="88"/>
      <c r="G7" s="60">
        <v>0</v>
      </c>
      <c r="H7" s="61">
        <v>0</v>
      </c>
      <c r="I7" s="61"/>
      <c r="J7" s="62"/>
      <c r="K7" s="88"/>
      <c r="L7" s="60">
        <v>0</v>
      </c>
      <c r="M7" s="61">
        <v>0</v>
      </c>
      <c r="N7" s="61"/>
      <c r="O7" s="62"/>
      <c r="P7" s="88"/>
      <c r="Q7" s="60">
        <v>0</v>
      </c>
      <c r="R7" s="61">
        <v>0</v>
      </c>
      <c r="S7" s="61"/>
      <c r="T7" s="62"/>
      <c r="U7" s="88"/>
    </row>
    <row r="8" spans="1:21" ht="20" customHeight="1" x14ac:dyDescent="0.15">
      <c r="A8" s="12">
        <v>5</v>
      </c>
      <c r="B8" s="60">
        <v>0</v>
      </c>
      <c r="C8" s="61">
        <v>0</v>
      </c>
      <c r="D8" s="61"/>
      <c r="E8" s="62"/>
      <c r="F8" s="88"/>
      <c r="G8" s="60">
        <v>0</v>
      </c>
      <c r="H8" s="61">
        <v>0</v>
      </c>
      <c r="I8" s="61"/>
      <c r="J8" s="62"/>
      <c r="K8" s="88"/>
      <c r="L8" s="60">
        <v>0</v>
      </c>
      <c r="M8" s="61">
        <v>0</v>
      </c>
      <c r="N8" s="61"/>
      <c r="O8" s="62"/>
      <c r="P8" s="88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88"/>
    </row>
    <row r="9" spans="1:21" ht="20" customHeight="1" x14ac:dyDescent="0.15">
      <c r="A9" s="12">
        <v>6</v>
      </c>
      <c r="B9" s="60">
        <v>0</v>
      </c>
      <c r="C9" s="61">
        <v>0</v>
      </c>
      <c r="D9" s="61"/>
      <c r="E9" s="62"/>
      <c r="F9" s="88"/>
      <c r="G9" s="60">
        <v>0</v>
      </c>
      <c r="H9" s="61">
        <v>0</v>
      </c>
      <c r="I9" s="61"/>
      <c r="J9" s="62"/>
      <c r="K9" s="88"/>
      <c r="L9" s="60">
        <v>0</v>
      </c>
      <c r="M9" s="61">
        <v>0</v>
      </c>
      <c r="N9" s="61"/>
      <c r="O9" s="62"/>
      <c r="P9" s="88"/>
      <c r="Q9" s="60">
        <v>0</v>
      </c>
      <c r="R9" s="61">
        <v>0</v>
      </c>
      <c r="S9" s="61"/>
      <c r="T9" s="62"/>
      <c r="U9" s="88"/>
    </row>
    <row r="10" spans="1:21" ht="20" customHeight="1" x14ac:dyDescent="0.15">
      <c r="A10" s="12">
        <v>7</v>
      </c>
      <c r="B10" s="60">
        <v>0</v>
      </c>
      <c r="C10" s="61">
        <v>0</v>
      </c>
      <c r="D10" s="61"/>
      <c r="E10" s="62"/>
      <c r="F10" s="88"/>
      <c r="G10" s="60">
        <v>0</v>
      </c>
      <c r="H10" s="61">
        <v>0</v>
      </c>
      <c r="I10" s="61"/>
      <c r="J10" s="62"/>
      <c r="K10" s="88"/>
      <c r="L10" s="60">
        <v>4950</v>
      </c>
      <c r="M10" s="61">
        <v>-4950</v>
      </c>
      <c r="N10" s="61"/>
      <c r="O10" s="62"/>
      <c r="P10" s="88"/>
      <c r="Q10" s="60">
        <v>0</v>
      </c>
      <c r="R10" s="61">
        <v>0</v>
      </c>
      <c r="S10" s="61"/>
      <c r="T10" s="62"/>
      <c r="U10" s="88"/>
    </row>
    <row r="11" spans="1:21" ht="20" customHeight="1" x14ac:dyDescent="0.15">
      <c r="A11" s="12">
        <v>8</v>
      </c>
      <c r="B11" s="60">
        <v>0</v>
      </c>
      <c r="C11" s="61">
        <v>0</v>
      </c>
      <c r="D11" s="61">
        <v>0</v>
      </c>
      <c r="E11" s="62"/>
      <c r="F11" s="88"/>
      <c r="G11" s="60">
        <f>4108</f>
        <v>4108</v>
      </c>
      <c r="H11" s="61">
        <f>-5842</f>
        <v>-5842</v>
      </c>
      <c r="I11" s="61">
        <f>1733</f>
        <v>1733</v>
      </c>
      <c r="J11" s="62"/>
      <c r="K11" s="88"/>
      <c r="L11" s="60">
        <v>0</v>
      </c>
      <c r="M11" s="61">
        <v>0</v>
      </c>
      <c r="N11" s="61">
        <v>0</v>
      </c>
      <c r="O11" s="62"/>
      <c r="P11" s="88"/>
      <c r="Q11" s="60">
        <v>0</v>
      </c>
      <c r="R11" s="61">
        <v>0</v>
      </c>
      <c r="S11" s="61">
        <v>0</v>
      </c>
      <c r="T11" s="62"/>
      <c r="U11" s="88"/>
    </row>
    <row r="12" spans="1:21" ht="20" customHeight="1" x14ac:dyDescent="0.15">
      <c r="A12" s="12">
        <v>9</v>
      </c>
      <c r="B12" s="60"/>
      <c r="C12" s="61">
        <v>0</v>
      </c>
      <c r="D12" s="61">
        <v>0</v>
      </c>
      <c r="E12" s="62"/>
      <c r="F12" s="88"/>
      <c r="G12" s="60"/>
      <c r="H12" s="61">
        <v>0</v>
      </c>
      <c r="I12" s="61">
        <v>0</v>
      </c>
      <c r="J12" s="62"/>
      <c r="K12" s="88"/>
      <c r="L12" s="60"/>
      <c r="M12" s="61">
        <v>0</v>
      </c>
      <c r="N12" s="61">
        <v>0</v>
      </c>
      <c r="O12" s="62"/>
      <c r="P12" s="88"/>
      <c r="Q12" s="60"/>
      <c r="R12" s="61">
        <f>1733</f>
        <v>1733</v>
      </c>
      <c r="S12" s="61">
        <f>-1733</f>
        <v>-1733</v>
      </c>
      <c r="T12" s="62"/>
      <c r="U12" s="88"/>
    </row>
    <row r="13" spans="1:21" ht="20" customHeight="1" x14ac:dyDescent="0.15">
      <c r="A13" s="12">
        <v>10</v>
      </c>
      <c r="B13" s="60">
        <v>0</v>
      </c>
      <c r="C13" s="61">
        <v>0</v>
      </c>
      <c r="D13" s="61"/>
      <c r="E13" s="62"/>
      <c r="F13" s="88"/>
      <c r="G13" s="60">
        <v>0</v>
      </c>
      <c r="H13" s="61">
        <v>0</v>
      </c>
      <c r="I13" s="61"/>
      <c r="J13" s="62"/>
      <c r="K13" s="88"/>
      <c r="L13" s="60">
        <v>0</v>
      </c>
      <c r="M13" s="61">
        <v>0</v>
      </c>
      <c r="N13" s="61"/>
      <c r="O13" s="62"/>
      <c r="P13" s="88"/>
      <c r="Q13" s="60">
        <v>0</v>
      </c>
      <c r="R13" s="61">
        <v>0</v>
      </c>
      <c r="S13" s="61"/>
      <c r="T13" s="62"/>
      <c r="U13" s="88"/>
    </row>
    <row r="14" spans="1:21" ht="20" customHeight="1" x14ac:dyDescent="0.15">
      <c r="A14" s="12">
        <v>11</v>
      </c>
      <c r="B14" s="60">
        <v>0</v>
      </c>
      <c r="C14" s="61">
        <v>0</v>
      </c>
      <c r="D14" s="61"/>
      <c r="E14" s="62"/>
      <c r="F14" s="88"/>
      <c r="G14" s="60">
        <v>0</v>
      </c>
      <c r="H14" s="61">
        <v>0</v>
      </c>
      <c r="I14" s="61"/>
      <c r="J14" s="62"/>
      <c r="K14" s="88"/>
      <c r="L14" s="60">
        <v>0</v>
      </c>
      <c r="M14" s="61">
        <v>0</v>
      </c>
      <c r="N14" s="61"/>
      <c r="O14" s="62"/>
      <c r="P14" s="88"/>
      <c r="Q14" s="60">
        <v>0</v>
      </c>
      <c r="R14" s="61">
        <v>0</v>
      </c>
      <c r="S14" s="61"/>
      <c r="T14" s="62"/>
      <c r="U14" s="88"/>
    </row>
    <row r="15" spans="1:21" ht="20" customHeight="1" x14ac:dyDescent="0.15">
      <c r="A15" s="12">
        <v>12</v>
      </c>
      <c r="B15" s="60">
        <v>0</v>
      </c>
      <c r="C15" s="61">
        <v>0</v>
      </c>
      <c r="D15" s="61"/>
      <c r="E15" s="62"/>
      <c r="F15" s="88"/>
      <c r="G15" s="60">
        <v>0</v>
      </c>
      <c r="H15" s="61">
        <v>0</v>
      </c>
      <c r="I15" s="61"/>
      <c r="J15" s="62"/>
      <c r="K15" s="88"/>
      <c r="L15" s="60">
        <v>0</v>
      </c>
      <c r="M15" s="61">
        <v>0</v>
      </c>
      <c r="N15" s="61"/>
      <c r="O15" s="62"/>
      <c r="P15" s="88"/>
      <c r="Q15" s="60">
        <v>0</v>
      </c>
      <c r="R15" s="61">
        <v>0</v>
      </c>
      <c r="S15" s="61"/>
      <c r="T15" s="62"/>
      <c r="U15" s="88"/>
    </row>
    <row r="16" spans="1:21" ht="20" customHeight="1" x14ac:dyDescent="0.15">
      <c r="A16" s="12">
        <v>13</v>
      </c>
      <c r="B16" s="60">
        <v>0</v>
      </c>
      <c r="C16" s="61">
        <v>0</v>
      </c>
      <c r="D16" s="61"/>
      <c r="E16" s="62"/>
      <c r="F16" s="88"/>
      <c r="G16" s="60">
        <v>-10000</v>
      </c>
      <c r="H16" s="61">
        <v>10050</v>
      </c>
      <c r="I16" s="61"/>
      <c r="J16" s="62"/>
      <c r="K16" s="88"/>
      <c r="L16" s="60">
        <v>0</v>
      </c>
      <c r="M16" s="61">
        <v>0</v>
      </c>
      <c r="N16" s="61"/>
      <c r="O16" s="62"/>
      <c r="P16" s="88"/>
      <c r="Q16" s="60">
        <v>0</v>
      </c>
      <c r="R16" s="61">
        <v>0</v>
      </c>
      <c r="S16" s="61"/>
      <c r="T16" s="62"/>
      <c r="U16" s="88"/>
    </row>
    <row r="17" spans="1:21" ht="20" customHeight="1" x14ac:dyDescent="0.15">
      <c r="A17" s="12">
        <v>14</v>
      </c>
      <c r="B17" s="60"/>
      <c r="C17" s="61">
        <v>0</v>
      </c>
      <c r="D17" s="61">
        <v>0</v>
      </c>
      <c r="E17" s="62"/>
      <c r="F17" s="88"/>
      <c r="G17" s="60"/>
      <c r="H17" s="61">
        <v>0</v>
      </c>
      <c r="I17" s="61">
        <v>0</v>
      </c>
      <c r="J17" s="62"/>
      <c r="K17" s="88"/>
      <c r="L17" s="60"/>
      <c r="M17" s="61">
        <v>0</v>
      </c>
      <c r="N17" s="61">
        <v>0</v>
      </c>
      <c r="O17" s="62"/>
      <c r="P17" s="88"/>
      <c r="Q17" s="60"/>
      <c r="R17" s="61">
        <v>0</v>
      </c>
      <c r="S17" s="61">
        <v>0</v>
      </c>
      <c r="T17" s="62"/>
      <c r="U17" s="88"/>
    </row>
    <row r="18" spans="1:21" ht="20" customHeight="1" x14ac:dyDescent="0.15">
      <c r="A18" s="12">
        <v>15</v>
      </c>
      <c r="B18" s="60">
        <v>0</v>
      </c>
      <c r="C18" s="61">
        <v>0</v>
      </c>
      <c r="D18" s="61"/>
      <c r="E18" s="62"/>
      <c r="F18" s="88"/>
      <c r="G18" s="60">
        <v>0</v>
      </c>
      <c r="H18" s="61">
        <v>0</v>
      </c>
      <c r="I18" s="61"/>
      <c r="J18" s="62"/>
      <c r="K18" s="88"/>
      <c r="L18" s="60">
        <v>0</v>
      </c>
      <c r="M18" s="61">
        <v>0</v>
      </c>
      <c r="N18" s="61"/>
      <c r="O18" s="62"/>
      <c r="P18" s="88"/>
      <c r="Q18" s="60">
        <v>0</v>
      </c>
      <c r="R18" s="61">
        <v>0</v>
      </c>
      <c r="S18" s="61"/>
      <c r="T18" s="62"/>
      <c r="U18" s="88"/>
    </row>
    <row r="19" spans="1:21" ht="20" customHeight="1" x14ac:dyDescent="0.15">
      <c r="A19" s="12">
        <v>16</v>
      </c>
      <c r="B19" s="60">
        <v>0</v>
      </c>
      <c r="C19" s="61">
        <v>0</v>
      </c>
      <c r="D19" s="61"/>
      <c r="E19" s="62"/>
      <c r="F19" s="88"/>
      <c r="G19" s="60">
        <v>0</v>
      </c>
      <c r="H19" s="61">
        <v>0</v>
      </c>
      <c r="I19" s="61"/>
      <c r="J19" s="62"/>
      <c r="K19" s="88"/>
      <c r="L19" s="60">
        <v>0</v>
      </c>
      <c r="M19" s="61">
        <v>0</v>
      </c>
      <c r="N19" s="61"/>
      <c r="O19" s="62"/>
      <c r="P19" s="88"/>
      <c r="Q19" s="60">
        <v>0</v>
      </c>
      <c r="R19" s="61">
        <v>0</v>
      </c>
      <c r="S19" s="61"/>
      <c r="T19" s="62"/>
      <c r="U19" s="88"/>
    </row>
    <row r="20" spans="1:21" ht="20.75" customHeight="1" thickBot="1" x14ac:dyDescent="0.2">
      <c r="A20" s="17">
        <v>17</v>
      </c>
      <c r="B20" s="89">
        <v>0</v>
      </c>
      <c r="C20" s="90">
        <v>0</v>
      </c>
      <c r="D20" s="90"/>
      <c r="E20" s="75"/>
      <c r="F20" s="91"/>
      <c r="G20" s="89">
        <v>0</v>
      </c>
      <c r="H20" s="90">
        <v>0</v>
      </c>
      <c r="I20" s="90"/>
      <c r="J20" s="75"/>
      <c r="K20" s="91"/>
      <c r="L20" s="89">
        <v>0</v>
      </c>
      <c r="M20" s="90">
        <v>0</v>
      </c>
      <c r="N20" s="90"/>
      <c r="O20" s="75"/>
      <c r="P20" s="91"/>
      <c r="Q20" s="89">
        <v>0</v>
      </c>
      <c r="R20" s="90">
        <v>0</v>
      </c>
      <c r="S20" s="90"/>
      <c r="T20" s="75"/>
      <c r="U20" s="91"/>
    </row>
    <row r="21" spans="1:21" ht="20.75" customHeight="1" x14ac:dyDescent="0.15">
      <c r="A21" s="22">
        <v>0</v>
      </c>
      <c r="B21" s="92"/>
      <c r="C21" s="68">
        <v>0</v>
      </c>
      <c r="D21" s="68">
        <v>0</v>
      </c>
      <c r="E21" s="67"/>
      <c r="F21" s="93"/>
      <c r="G21" s="94"/>
      <c r="H21" s="68">
        <v>-2425</v>
      </c>
      <c r="I21" s="68">
        <v>2425</v>
      </c>
      <c r="J21" s="67"/>
      <c r="K21" s="93"/>
      <c r="L21" s="95"/>
      <c r="M21" s="67">
        <v>0</v>
      </c>
      <c r="N21" s="67">
        <v>0</v>
      </c>
      <c r="O21" s="67"/>
      <c r="P21" s="96"/>
      <c r="Q21" s="94"/>
      <c r="R21" s="68">
        <v>0</v>
      </c>
      <c r="S21" s="68">
        <v>0</v>
      </c>
      <c r="T21" s="67"/>
      <c r="U21" s="93"/>
    </row>
    <row r="22" spans="1:21" ht="20" customHeight="1" x14ac:dyDescent="0.15">
      <c r="A22" s="12">
        <v>1</v>
      </c>
      <c r="B22" s="63">
        <v>0</v>
      </c>
      <c r="C22" s="61">
        <v>0</v>
      </c>
      <c r="D22" s="61"/>
      <c r="E22" s="62"/>
      <c r="F22" s="97"/>
      <c r="G22" s="60">
        <v>0</v>
      </c>
      <c r="H22" s="61">
        <v>0</v>
      </c>
      <c r="I22" s="61"/>
      <c r="J22" s="62"/>
      <c r="K22" s="97"/>
      <c r="L22" s="66">
        <v>0</v>
      </c>
      <c r="M22" s="62">
        <v>0</v>
      </c>
      <c r="N22" s="62"/>
      <c r="O22" s="62"/>
      <c r="P22" s="88"/>
      <c r="Q22" s="60">
        <v>0</v>
      </c>
      <c r="R22" s="61">
        <v>0</v>
      </c>
      <c r="S22" s="61"/>
      <c r="T22" s="62"/>
      <c r="U22" s="97"/>
    </row>
    <row r="23" spans="1:21" ht="20" customHeight="1" x14ac:dyDescent="0.15">
      <c r="A23" s="12">
        <v>2</v>
      </c>
      <c r="B23" s="63"/>
      <c r="C23" s="61">
        <v>0</v>
      </c>
      <c r="D23" s="61">
        <v>0</v>
      </c>
      <c r="E23" s="62"/>
      <c r="F23" s="97"/>
      <c r="G23" s="60"/>
      <c r="H23" s="61">
        <v>0</v>
      </c>
      <c r="I23" s="61">
        <v>0</v>
      </c>
      <c r="J23" s="62"/>
      <c r="K23" s="97"/>
      <c r="L23" s="66"/>
      <c r="M23" s="62">
        <v>0</v>
      </c>
      <c r="N23" s="62">
        <v>0</v>
      </c>
      <c r="O23" s="62"/>
      <c r="P23" s="88"/>
      <c r="Q23" s="60"/>
      <c r="R23" s="61">
        <v>0</v>
      </c>
      <c r="S23" s="61">
        <v>0</v>
      </c>
      <c r="T23" s="62"/>
      <c r="U23" s="97"/>
    </row>
    <row r="24" spans="1:21" ht="20" customHeight="1" x14ac:dyDescent="0.15">
      <c r="A24" s="12">
        <v>3</v>
      </c>
      <c r="B24" s="63">
        <v>0</v>
      </c>
      <c r="C24" s="61">
        <v>0</v>
      </c>
      <c r="D24" s="61"/>
      <c r="E24" s="62"/>
      <c r="F24" s="97"/>
      <c r="G24" s="60">
        <v>-5050</v>
      </c>
      <c r="H24" s="61">
        <v>5050</v>
      </c>
      <c r="I24" s="61"/>
      <c r="J24" s="62"/>
      <c r="K24" s="97"/>
      <c r="L24" s="66">
        <v>0</v>
      </c>
      <c r="M24" s="62">
        <v>0</v>
      </c>
      <c r="N24" s="62"/>
      <c r="O24" s="62"/>
      <c r="P24" s="88"/>
      <c r="Q24" s="60">
        <v>0</v>
      </c>
      <c r="R24" s="61">
        <v>0</v>
      </c>
      <c r="S24" s="61"/>
      <c r="T24" s="62"/>
      <c r="U24" s="97"/>
    </row>
    <row r="25" spans="1:21" ht="20" customHeight="1" x14ac:dyDescent="0.15">
      <c r="A25" s="12">
        <v>4</v>
      </c>
      <c r="B25" s="63"/>
      <c r="C25" s="61">
        <v>0</v>
      </c>
      <c r="D25" s="61">
        <v>0</v>
      </c>
      <c r="E25" s="62"/>
      <c r="F25" s="97"/>
      <c r="G25" s="60"/>
      <c r="H25" s="61">
        <f>3467</f>
        <v>3467</v>
      </c>
      <c r="I25" s="61">
        <f>-3467</f>
        <v>-3467</v>
      </c>
      <c r="J25" s="62"/>
      <c r="K25" s="97"/>
      <c r="L25" s="66"/>
      <c r="M25" s="62">
        <v>0</v>
      </c>
      <c r="N25" s="62">
        <v>0</v>
      </c>
      <c r="O25" s="62"/>
      <c r="P25" s="88"/>
      <c r="Q25" s="60"/>
      <c r="R25" s="61">
        <v>0</v>
      </c>
      <c r="S25" s="61">
        <v>0</v>
      </c>
      <c r="T25" s="62"/>
      <c r="U25" s="97"/>
    </row>
    <row r="26" spans="1:21" ht="20" customHeight="1" x14ac:dyDescent="0.15">
      <c r="A26" s="12">
        <v>5</v>
      </c>
      <c r="B26" s="63">
        <v>0</v>
      </c>
      <c r="C26" s="61">
        <v>0</v>
      </c>
      <c r="D26" s="61"/>
      <c r="E26" s="62"/>
      <c r="F26" s="97"/>
      <c r="G26" s="60">
        <v>4950</v>
      </c>
      <c r="H26" s="61">
        <v>-4950</v>
      </c>
      <c r="I26" s="61"/>
      <c r="J26" s="62"/>
      <c r="K26" s="97"/>
      <c r="L26" s="98" cm="1">
        <f t="array" ref="L26">BankRound((4950)*0.5)</f>
        <v>2475</v>
      </c>
      <c r="M26" s="99" cm="1">
        <f t="array" ref="M26">BankRound((-4950)*0.5)</f>
        <v>-2475</v>
      </c>
      <c r="N26" s="62"/>
      <c r="O26" s="62"/>
      <c r="P26" s="88"/>
      <c r="Q26" s="60">
        <v>0</v>
      </c>
      <c r="R26" s="61">
        <v>0</v>
      </c>
      <c r="S26" s="61"/>
      <c r="T26" s="62"/>
      <c r="U26" s="97"/>
    </row>
    <row r="27" spans="1:21" ht="20" customHeight="1" x14ac:dyDescent="0.15">
      <c r="A27" s="12">
        <v>6</v>
      </c>
      <c r="B27" s="63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97"/>
      <c r="G27" s="60"/>
      <c r="H27" s="61">
        <v>0</v>
      </c>
      <c r="I27" s="61">
        <v>0</v>
      </c>
      <c r="J27" s="62"/>
      <c r="K27" s="97"/>
      <c r="L27" s="66"/>
      <c r="M27" s="62">
        <v>0</v>
      </c>
      <c r="N27" s="62">
        <v>0</v>
      </c>
      <c r="O27" s="62"/>
      <c r="P27" s="88"/>
      <c r="Q27" s="60"/>
      <c r="R27" s="61">
        <v>0</v>
      </c>
      <c r="S27" s="61">
        <v>0</v>
      </c>
      <c r="T27" s="62"/>
      <c r="U27" s="97"/>
    </row>
    <row r="28" spans="1:21" ht="20" customHeight="1" x14ac:dyDescent="0.15">
      <c r="A28" s="12">
        <v>7</v>
      </c>
      <c r="B28" s="63">
        <v>0</v>
      </c>
      <c r="C28" s="61">
        <v>0</v>
      </c>
      <c r="D28" s="61"/>
      <c r="E28" s="62"/>
      <c r="F28" s="97"/>
      <c r="G28" s="60">
        <v>0</v>
      </c>
      <c r="H28" s="61">
        <v>0</v>
      </c>
      <c r="I28" s="61"/>
      <c r="J28" s="62"/>
      <c r="K28" s="97"/>
      <c r="L28" s="66">
        <v>0</v>
      </c>
      <c r="M28" s="62">
        <v>0</v>
      </c>
      <c r="N28" s="62"/>
      <c r="O28" s="62"/>
      <c r="P28" s="88"/>
      <c r="Q28" s="60">
        <v>0</v>
      </c>
      <c r="R28" s="61">
        <v>0</v>
      </c>
      <c r="S28" s="61"/>
      <c r="T28" s="62"/>
      <c r="U28" s="97"/>
    </row>
    <row r="29" spans="1:21" ht="20" customHeight="1" x14ac:dyDescent="0.15">
      <c r="A29" s="12">
        <v>8</v>
      </c>
      <c r="B29" s="63"/>
      <c r="C29" s="61">
        <v>0</v>
      </c>
      <c r="D29" s="61">
        <v>0</v>
      </c>
      <c r="E29" s="62"/>
      <c r="F29" s="97"/>
      <c r="G29" s="60"/>
      <c r="H29" s="61">
        <v>0</v>
      </c>
      <c r="I29" s="61">
        <v>0</v>
      </c>
      <c r="J29" s="62"/>
      <c r="K29" s="97"/>
      <c r="L29" s="66"/>
      <c r="M29" s="62">
        <v>0</v>
      </c>
      <c r="N29" s="62">
        <v>0</v>
      </c>
      <c r="O29" s="62"/>
      <c r="P29" s="88"/>
      <c r="Q29" s="60"/>
      <c r="R29" s="61">
        <f>2625</f>
        <v>2625</v>
      </c>
      <c r="S29" s="61">
        <f>-2625</f>
        <v>-2625</v>
      </c>
      <c r="T29" s="62"/>
      <c r="U29" s="97"/>
    </row>
    <row r="30" spans="1:21" ht="20" customHeight="1" x14ac:dyDescent="0.15">
      <c r="A30" s="12">
        <v>9</v>
      </c>
      <c r="B30" s="63">
        <v>0</v>
      </c>
      <c r="C30" s="61">
        <v>0</v>
      </c>
      <c r="D30" s="61"/>
      <c r="E30" s="62"/>
      <c r="F30" s="97"/>
      <c r="G30" s="60">
        <v>0</v>
      </c>
      <c r="H30" s="61">
        <v>0</v>
      </c>
      <c r="I30" s="61"/>
      <c r="J30" s="62"/>
      <c r="K30" s="97"/>
      <c r="L30" s="66">
        <v>0</v>
      </c>
      <c r="M30" s="62">
        <v>0</v>
      </c>
      <c r="N30" s="62"/>
      <c r="O30" s="62"/>
      <c r="P30" s="88"/>
      <c r="Q30" s="60">
        <v>0</v>
      </c>
      <c r="R30" s="61">
        <v>0</v>
      </c>
      <c r="S30" s="61"/>
      <c r="T30" s="62"/>
      <c r="U30" s="97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61"/>
      <c r="E31" s="62"/>
      <c r="F31" s="97"/>
      <c r="G31" s="60">
        <v>0</v>
      </c>
      <c r="H31" s="61">
        <v>0</v>
      </c>
      <c r="I31" s="61"/>
      <c r="J31" s="62"/>
      <c r="K31" s="97"/>
      <c r="L31" s="66">
        <v>0</v>
      </c>
      <c r="M31" s="62">
        <v>0</v>
      </c>
      <c r="N31" s="62"/>
      <c r="O31" s="62"/>
      <c r="P31" s="88"/>
      <c r="Q31" s="60">
        <v>0</v>
      </c>
      <c r="R31" s="61">
        <v>0</v>
      </c>
      <c r="S31" s="61"/>
      <c r="T31" s="62"/>
      <c r="U31" s="97"/>
    </row>
    <row r="32" spans="1:21" ht="20" customHeight="1" x14ac:dyDescent="0.15">
      <c r="A32" s="12">
        <v>11</v>
      </c>
      <c r="B32" s="63">
        <v>0</v>
      </c>
      <c r="C32" s="61">
        <v>0</v>
      </c>
      <c r="D32" s="61"/>
      <c r="E32" s="62"/>
      <c r="F32" s="97"/>
      <c r="G32" s="60">
        <v>0</v>
      </c>
      <c r="H32" s="61">
        <v>0</v>
      </c>
      <c r="I32" s="61"/>
      <c r="J32" s="62"/>
      <c r="K32" s="97"/>
      <c r="L32" s="66">
        <v>0</v>
      </c>
      <c r="M32" s="62">
        <v>0</v>
      </c>
      <c r="N32" s="62"/>
      <c r="O32" s="62"/>
      <c r="P32" s="88"/>
      <c r="Q32" s="60">
        <v>0</v>
      </c>
      <c r="R32" s="61">
        <v>0</v>
      </c>
      <c r="S32" s="61"/>
      <c r="T32" s="62"/>
      <c r="U32" s="97"/>
    </row>
    <row r="33" spans="1:21" ht="20" customHeight="1" x14ac:dyDescent="0.15">
      <c r="A33" s="12">
        <v>12</v>
      </c>
      <c r="B33" s="63"/>
      <c r="C33" s="61">
        <v>0</v>
      </c>
      <c r="D33" s="61">
        <v>0</v>
      </c>
      <c r="E33" s="62"/>
      <c r="F33" s="97"/>
      <c r="G33" s="60"/>
      <c r="H33" s="61">
        <v>0</v>
      </c>
      <c r="I33" s="61">
        <v>0</v>
      </c>
      <c r="J33" s="62"/>
      <c r="K33" s="97"/>
      <c r="L33" s="66"/>
      <c r="M33" s="62">
        <v>0</v>
      </c>
      <c r="N33" s="62">
        <v>0</v>
      </c>
      <c r="O33" s="62"/>
      <c r="P33" s="88"/>
      <c r="Q33" s="60"/>
      <c r="R33" s="61">
        <v>0</v>
      </c>
      <c r="S33" s="61">
        <v>0</v>
      </c>
      <c r="T33" s="62"/>
      <c r="U33" s="97"/>
    </row>
    <row r="34" spans="1:21" ht="20" customHeight="1" x14ac:dyDescent="0.15">
      <c r="A34" s="12">
        <v>13</v>
      </c>
      <c r="B34" s="63">
        <v>0</v>
      </c>
      <c r="C34" s="61">
        <v>0</v>
      </c>
      <c r="D34" s="61"/>
      <c r="E34" s="62"/>
      <c r="F34" s="97"/>
      <c r="G34" s="60">
        <v>0</v>
      </c>
      <c r="H34" s="61">
        <v>0</v>
      </c>
      <c r="I34" s="61"/>
      <c r="J34" s="62"/>
      <c r="K34" s="97"/>
      <c r="L34" s="66">
        <v>0</v>
      </c>
      <c r="M34" s="62">
        <v>0</v>
      </c>
      <c r="N34" s="62"/>
      <c r="O34" s="62"/>
      <c r="P34" s="88"/>
      <c r="Q34" s="60">
        <v>0</v>
      </c>
      <c r="R34" s="61">
        <v>0</v>
      </c>
      <c r="S34" s="61"/>
      <c r="T34" s="62"/>
      <c r="U34" s="97"/>
    </row>
    <row r="35" spans="1:21" ht="20" customHeight="1" x14ac:dyDescent="0.15">
      <c r="A35" s="12">
        <v>14</v>
      </c>
      <c r="B35" s="63">
        <v>0</v>
      </c>
      <c r="C35" s="61">
        <v>0</v>
      </c>
      <c r="D35" s="61"/>
      <c r="E35" s="62"/>
      <c r="F35" s="97"/>
      <c r="G35" s="60">
        <v>0</v>
      </c>
      <c r="H35" s="61">
        <v>0</v>
      </c>
      <c r="I35" s="61"/>
      <c r="J35" s="62"/>
      <c r="K35" s="97"/>
      <c r="L35" s="66">
        <v>0</v>
      </c>
      <c r="M35" s="62">
        <v>0</v>
      </c>
      <c r="N35" s="62"/>
      <c r="O35" s="62"/>
      <c r="P35" s="88"/>
      <c r="Q35" s="60">
        <f>4950</f>
        <v>4950</v>
      </c>
      <c r="R35" s="61">
        <f>-4950</f>
        <v>-4950</v>
      </c>
      <c r="S35" s="61"/>
      <c r="T35" s="62"/>
      <c r="U35" s="97"/>
    </row>
    <row r="36" spans="1:21" ht="20" customHeight="1" x14ac:dyDescent="0.15">
      <c r="A36" s="12">
        <v>15</v>
      </c>
      <c r="B36" s="63">
        <v>0</v>
      </c>
      <c r="C36" s="61">
        <v>0</v>
      </c>
      <c r="D36" s="61"/>
      <c r="E36" s="62"/>
      <c r="F36" s="97"/>
      <c r="G36" s="60">
        <v>0</v>
      </c>
      <c r="H36" s="61">
        <v>0</v>
      </c>
      <c r="I36" s="61"/>
      <c r="J36" s="62"/>
      <c r="K36" s="97"/>
      <c r="L36" s="66">
        <v>0</v>
      </c>
      <c r="M36" s="62">
        <v>0</v>
      </c>
      <c r="N36" s="62"/>
      <c r="O36" s="62"/>
      <c r="P36" s="88"/>
      <c r="Q36" s="60">
        <v>0</v>
      </c>
      <c r="R36" s="61">
        <v>0</v>
      </c>
      <c r="S36" s="61"/>
      <c r="T36" s="62"/>
      <c r="U36" s="97"/>
    </row>
    <row r="37" spans="1:21" ht="20" customHeight="1" x14ac:dyDescent="0.15">
      <c r="A37" s="12">
        <v>16</v>
      </c>
      <c r="B37" s="63"/>
      <c r="C37" s="61">
        <v>0</v>
      </c>
      <c r="D37" s="61">
        <v>0</v>
      </c>
      <c r="E37" s="62"/>
      <c r="F37" s="97"/>
      <c r="G37" s="60"/>
      <c r="H37" s="61">
        <v>0</v>
      </c>
      <c r="I37" s="61">
        <v>0</v>
      </c>
      <c r="J37" s="62"/>
      <c r="K37" s="97"/>
      <c r="L37" s="66"/>
      <c r="M37" s="62">
        <v>0</v>
      </c>
      <c r="N37" s="62">
        <v>0</v>
      </c>
      <c r="O37" s="62"/>
      <c r="P37" s="88"/>
      <c r="Q37" s="60"/>
      <c r="R37" s="61">
        <v>0</v>
      </c>
      <c r="S37" s="61">
        <v>0</v>
      </c>
      <c r="T37" s="62"/>
      <c r="U37" s="97"/>
    </row>
    <row r="38" spans="1:21" ht="20" customHeight="1" x14ac:dyDescent="0.15">
      <c r="A38" s="12">
        <v>17</v>
      </c>
      <c r="B38" s="63">
        <v>0</v>
      </c>
      <c r="C38" s="61">
        <v>0</v>
      </c>
      <c r="D38" s="61"/>
      <c r="E38" s="62"/>
      <c r="F38" s="97"/>
      <c r="G38" s="60">
        <v>0</v>
      </c>
      <c r="H38" s="61">
        <v>0</v>
      </c>
      <c r="I38" s="61"/>
      <c r="J38" s="62"/>
      <c r="K38" s="97"/>
      <c r="L38" s="66">
        <v>0</v>
      </c>
      <c r="M38" s="62">
        <v>0</v>
      </c>
      <c r="N38" s="62"/>
      <c r="O38" s="62"/>
      <c r="P38" s="88"/>
      <c r="Q38" s="60">
        <v>0</v>
      </c>
      <c r="R38" s="61">
        <v>0</v>
      </c>
      <c r="S38" s="61"/>
      <c r="T38" s="62"/>
      <c r="U38" s="97"/>
    </row>
    <row r="39" spans="1:21" ht="20" customHeight="1" x14ac:dyDescent="0.15">
      <c r="A39" s="12">
        <v>18</v>
      </c>
      <c r="B39" s="63">
        <v>0</v>
      </c>
      <c r="C39" s="61">
        <v>0</v>
      </c>
      <c r="D39" s="61"/>
      <c r="E39" s="62"/>
      <c r="F39" s="97"/>
      <c r="G39" s="60">
        <v>0</v>
      </c>
      <c r="H39" s="61">
        <v>0</v>
      </c>
      <c r="I39" s="61"/>
      <c r="J39" s="62"/>
      <c r="K39" s="97"/>
      <c r="L39" s="66">
        <v>0</v>
      </c>
      <c r="M39" s="62">
        <v>0</v>
      </c>
      <c r="N39" s="62"/>
      <c r="O39" s="62"/>
      <c r="P39" s="88"/>
      <c r="Q39" s="60">
        <v>0</v>
      </c>
      <c r="R39" s="61">
        <v>0</v>
      </c>
      <c r="S39" s="61"/>
      <c r="T39" s="62"/>
      <c r="U39" s="97"/>
    </row>
    <row r="40" spans="1:21" ht="20.75" customHeight="1" thickBot="1" x14ac:dyDescent="0.2">
      <c r="A40" s="17">
        <v>19</v>
      </c>
      <c r="B40" s="100">
        <v>0</v>
      </c>
      <c r="C40" s="90">
        <v>0</v>
      </c>
      <c r="D40" s="90"/>
      <c r="E40" s="75"/>
      <c r="F40" s="101"/>
      <c r="G40" s="89">
        <v>0</v>
      </c>
      <c r="H40" s="90">
        <v>0</v>
      </c>
      <c r="I40" s="90"/>
      <c r="J40" s="75"/>
      <c r="K40" s="101"/>
      <c r="L40" s="102">
        <v>0</v>
      </c>
      <c r="M40" s="75">
        <v>0</v>
      </c>
      <c r="N40" s="75"/>
      <c r="O40" s="75"/>
      <c r="P40" s="91"/>
      <c r="Q40" s="89">
        <v>0</v>
      </c>
      <c r="R40" s="90">
        <v>0</v>
      </c>
      <c r="S40" s="90"/>
      <c r="T40" s="75"/>
      <c r="U40" s="101"/>
    </row>
    <row r="41" spans="1:21" ht="20.75" customHeight="1" x14ac:dyDescent="0.15">
      <c r="A41" s="22">
        <v>0</v>
      </c>
      <c r="B41" s="92"/>
      <c r="C41" s="68">
        <v>0</v>
      </c>
      <c r="D41" s="68">
        <v>0</v>
      </c>
      <c r="E41" s="68">
        <v>0</v>
      </c>
      <c r="F41" s="93"/>
      <c r="G41" s="94"/>
      <c r="H41" s="68">
        <v>0</v>
      </c>
      <c r="I41" s="68">
        <v>0</v>
      </c>
      <c r="J41" s="68">
        <v>0</v>
      </c>
      <c r="K41" s="93"/>
      <c r="L41" s="94"/>
      <c r="M41" s="68">
        <v>0</v>
      </c>
      <c r="N41" s="68">
        <v>0</v>
      </c>
      <c r="O41" s="68">
        <v>0</v>
      </c>
      <c r="P41" s="93"/>
      <c r="Q41" s="94"/>
      <c r="R41" s="68">
        <v>0</v>
      </c>
      <c r="S41" s="68">
        <v>0</v>
      </c>
      <c r="T41" s="68">
        <v>0</v>
      </c>
      <c r="U41" s="93"/>
    </row>
    <row r="42" spans="1:21" ht="20" customHeight="1" x14ac:dyDescent="0.15">
      <c r="A42" s="12">
        <v>1</v>
      </c>
      <c r="B42" s="63">
        <v>0</v>
      </c>
      <c r="C42" s="61">
        <v>0</v>
      </c>
      <c r="D42" s="61"/>
      <c r="E42" s="61"/>
      <c r="F42" s="97"/>
      <c r="G42" s="60">
        <v>0</v>
      </c>
      <c r="H42" s="61">
        <v>0</v>
      </c>
      <c r="I42" s="61"/>
      <c r="J42" s="61"/>
      <c r="K42" s="97"/>
      <c r="L42" s="60">
        <v>0</v>
      </c>
      <c r="M42" s="61">
        <v>0</v>
      </c>
      <c r="N42" s="61"/>
      <c r="O42" s="61"/>
      <c r="P42" s="97"/>
      <c r="Q42" s="60">
        <v>0</v>
      </c>
      <c r="R42" s="61">
        <v>0</v>
      </c>
      <c r="S42" s="61"/>
      <c r="T42" s="61"/>
      <c r="U42" s="97"/>
    </row>
    <row r="43" spans="1:21" ht="20" customHeight="1" x14ac:dyDescent="0.15">
      <c r="A43" s="12">
        <v>2</v>
      </c>
      <c r="B43" s="63"/>
      <c r="C43" s="61">
        <v>0</v>
      </c>
      <c r="D43" s="61">
        <v>0</v>
      </c>
      <c r="E43" s="61">
        <v>0</v>
      </c>
      <c r="F43" s="97"/>
      <c r="G43" s="60"/>
      <c r="H43" s="61">
        <v>0</v>
      </c>
      <c r="I43" s="61">
        <v>0</v>
      </c>
      <c r="J43" s="61">
        <v>0</v>
      </c>
      <c r="K43" s="97"/>
      <c r="L43" s="60"/>
      <c r="M43" s="61">
        <v>0</v>
      </c>
      <c r="N43" s="61">
        <v>0</v>
      </c>
      <c r="O43" s="61">
        <v>0</v>
      </c>
      <c r="P43" s="97"/>
      <c r="Q43" s="60"/>
      <c r="R43" s="61">
        <v>0</v>
      </c>
      <c r="S43" s="61">
        <v>0</v>
      </c>
      <c r="T43" s="61">
        <v>0</v>
      </c>
      <c r="U43" s="97"/>
    </row>
    <row r="44" spans="1:21" ht="20" customHeight="1" x14ac:dyDescent="0.15">
      <c r="A44" s="12">
        <v>3</v>
      </c>
      <c r="B44" s="63">
        <v>0</v>
      </c>
      <c r="C44" s="61">
        <v>0</v>
      </c>
      <c r="D44" s="61"/>
      <c r="E44" s="61"/>
      <c r="F44" s="97"/>
      <c r="G44" s="60">
        <v>0</v>
      </c>
      <c r="H44" s="61">
        <v>0</v>
      </c>
      <c r="I44" s="61"/>
      <c r="J44" s="61"/>
      <c r="K44" s="97"/>
      <c r="L44" s="60">
        <v>0</v>
      </c>
      <c r="M44" s="61">
        <v>0</v>
      </c>
      <c r="N44" s="61"/>
      <c r="O44" s="61"/>
      <c r="P44" s="97"/>
      <c r="Q44" s="60">
        <v>0</v>
      </c>
      <c r="R44" s="61">
        <v>0</v>
      </c>
      <c r="S44" s="61"/>
      <c r="T44" s="61"/>
      <c r="U44" s="97"/>
    </row>
    <row r="45" spans="1:21" ht="20" customHeight="1" x14ac:dyDescent="0.15">
      <c r="A45" s="12">
        <v>4</v>
      </c>
      <c r="B45" s="63">
        <v>0</v>
      </c>
      <c r="C45" s="61">
        <v>0</v>
      </c>
      <c r="D45" s="61">
        <v>0</v>
      </c>
      <c r="E45" s="61"/>
      <c r="F45" s="97"/>
      <c r="G45" s="60">
        <v>0</v>
      </c>
      <c r="H45" s="61">
        <v>0</v>
      </c>
      <c r="I45" s="61">
        <v>0</v>
      </c>
      <c r="J45" s="61"/>
      <c r="K45" s="97"/>
      <c r="L45" s="60">
        <v>0</v>
      </c>
      <c r="M45" s="61">
        <v>0</v>
      </c>
      <c r="N45" s="61">
        <v>0</v>
      </c>
      <c r="O45" s="61"/>
      <c r="P45" s="97"/>
      <c r="Q45" s="60">
        <v>0</v>
      </c>
      <c r="R45" s="61">
        <v>0</v>
      </c>
      <c r="S45" s="61">
        <v>0</v>
      </c>
      <c r="T45" s="61"/>
      <c r="U45" s="97"/>
    </row>
    <row r="46" spans="1:21" ht="20" customHeight="1" x14ac:dyDescent="0.15">
      <c r="A46" s="12">
        <v>5</v>
      </c>
      <c r="B46" s="63">
        <v>0</v>
      </c>
      <c r="C46" s="61">
        <v>0</v>
      </c>
      <c r="D46" s="61"/>
      <c r="E46" s="61"/>
      <c r="F46" s="97"/>
      <c r="G46" s="60">
        <v>0</v>
      </c>
      <c r="H46" s="61">
        <v>0</v>
      </c>
      <c r="I46" s="61"/>
      <c r="J46" s="61"/>
      <c r="K46" s="97"/>
      <c r="L46" s="60">
        <v>0</v>
      </c>
      <c r="M46" s="61">
        <v>0</v>
      </c>
      <c r="N46" s="61"/>
      <c r="O46" s="61"/>
      <c r="P46" s="97"/>
      <c r="Q46" s="60">
        <v>0</v>
      </c>
      <c r="R46" s="61">
        <v>0</v>
      </c>
      <c r="S46" s="61"/>
      <c r="T46" s="61"/>
      <c r="U46" s="97"/>
    </row>
    <row r="47" spans="1:21" ht="20" customHeight="1" x14ac:dyDescent="0.15">
      <c r="A47" s="12">
        <v>6</v>
      </c>
      <c r="B47" s="63">
        <v>0</v>
      </c>
      <c r="C47" s="61">
        <v>0</v>
      </c>
      <c r="D47" s="61">
        <v>0</v>
      </c>
      <c r="E47" s="61"/>
      <c r="F47" s="97"/>
      <c r="G47" s="60">
        <v>0</v>
      </c>
      <c r="H47" s="61">
        <v>0</v>
      </c>
      <c r="I47" s="61">
        <v>0</v>
      </c>
      <c r="J47" s="61"/>
      <c r="K47" s="97"/>
      <c r="L47" s="60">
        <v>0</v>
      </c>
      <c r="M47" s="61">
        <v>0</v>
      </c>
      <c r="N47" s="61">
        <v>0</v>
      </c>
      <c r="O47" s="61"/>
      <c r="P47" s="97"/>
      <c r="Q47" s="60">
        <v>0</v>
      </c>
      <c r="R47" s="61">
        <v>0</v>
      </c>
      <c r="S47" s="61">
        <v>0</v>
      </c>
      <c r="T47" s="61"/>
      <c r="U47" s="97"/>
    </row>
    <row r="48" spans="1:21" ht="20" customHeight="1" x14ac:dyDescent="0.15">
      <c r="A48" s="12">
        <v>7</v>
      </c>
      <c r="B48" s="63">
        <v>0</v>
      </c>
      <c r="C48" s="61">
        <v>0</v>
      </c>
      <c r="D48" s="61"/>
      <c r="E48" s="61"/>
      <c r="F48" s="97"/>
      <c r="G48" s="60">
        <v>0</v>
      </c>
      <c r="H48" s="61">
        <v>0</v>
      </c>
      <c r="I48" s="61"/>
      <c r="J48" s="61"/>
      <c r="K48" s="97"/>
      <c r="L48" s="60">
        <v>0</v>
      </c>
      <c r="M48" s="61">
        <v>0</v>
      </c>
      <c r="N48" s="61"/>
      <c r="O48" s="61"/>
      <c r="P48" s="97"/>
      <c r="Q48" s="60">
        <v>0</v>
      </c>
      <c r="R48" s="61">
        <v>0</v>
      </c>
      <c r="S48" s="61"/>
      <c r="T48" s="61"/>
      <c r="U48" s="97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97"/>
      <c r="G49" s="60"/>
      <c r="H49" s="61">
        <f>-3217</f>
        <v>-3217</v>
      </c>
      <c r="I49" s="61">
        <f>1733</f>
        <v>1733</v>
      </c>
      <c r="J49" s="61">
        <f>1483</f>
        <v>1483</v>
      </c>
      <c r="K49" s="97"/>
      <c r="L49" s="60"/>
      <c r="M49" s="61">
        <v>0</v>
      </c>
      <c r="N49" s="61">
        <v>0</v>
      </c>
      <c r="O49" s="61">
        <v>0</v>
      </c>
      <c r="P49" s="97"/>
      <c r="Q49" s="60"/>
      <c r="R49" s="61">
        <v>0</v>
      </c>
      <c r="S49" s="61">
        <v>0</v>
      </c>
      <c r="T49" s="61">
        <v>0</v>
      </c>
      <c r="U49" s="97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97"/>
      <c r="G50" s="60">
        <v>0</v>
      </c>
      <c r="H50" s="61">
        <v>0</v>
      </c>
      <c r="I50" s="61"/>
      <c r="J50" s="61"/>
      <c r="K50" s="97"/>
      <c r="L50" s="60">
        <v>0</v>
      </c>
      <c r="M50" s="61">
        <v>0</v>
      </c>
      <c r="N50" s="61"/>
      <c r="O50" s="61"/>
      <c r="P50" s="97"/>
      <c r="Q50" s="60">
        <v>0</v>
      </c>
      <c r="R50" s="61">
        <v>0</v>
      </c>
      <c r="S50" s="61"/>
      <c r="T50" s="61"/>
      <c r="U50" s="97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97"/>
      <c r="G51" s="60"/>
      <c r="H51" s="61">
        <v>0</v>
      </c>
      <c r="I51" s="61">
        <v>0</v>
      </c>
      <c r="J51" s="61">
        <v>0</v>
      </c>
      <c r="K51" s="97"/>
      <c r="L51" s="60"/>
      <c r="M51" s="61">
        <v>0</v>
      </c>
      <c r="N51" s="61">
        <v>0</v>
      </c>
      <c r="O51" s="61">
        <v>0</v>
      </c>
      <c r="P51" s="97"/>
      <c r="Q51" s="60"/>
      <c r="R51" s="61">
        <v>0</v>
      </c>
      <c r="S51" s="61">
        <v>0</v>
      </c>
      <c r="T51" s="61">
        <v>0</v>
      </c>
      <c r="U51" s="97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97"/>
      <c r="G52" s="60">
        <v>0</v>
      </c>
      <c r="H52" s="61">
        <v>0</v>
      </c>
      <c r="I52" s="61"/>
      <c r="J52" s="61"/>
      <c r="K52" s="97"/>
      <c r="L52" s="60">
        <v>0</v>
      </c>
      <c r="M52" s="61">
        <v>0</v>
      </c>
      <c r="N52" s="61"/>
      <c r="O52" s="61"/>
      <c r="P52" s="97"/>
      <c r="Q52" s="60">
        <v>0</v>
      </c>
      <c r="R52" s="61">
        <v>0</v>
      </c>
      <c r="S52" s="61"/>
      <c r="T52" s="61"/>
      <c r="U52" s="97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97"/>
      <c r="G53" s="60">
        <v>0</v>
      </c>
      <c r="H53" s="61">
        <v>0</v>
      </c>
      <c r="I53" s="61">
        <v>0</v>
      </c>
      <c r="J53" s="61"/>
      <c r="K53" s="97"/>
      <c r="L53" s="60">
        <v>0</v>
      </c>
      <c r="M53" s="61">
        <v>0</v>
      </c>
      <c r="N53" s="61">
        <v>0</v>
      </c>
      <c r="O53" s="61"/>
      <c r="P53" s="97"/>
      <c r="Q53" s="60">
        <v>0</v>
      </c>
      <c r="R53" s="61">
        <v>0</v>
      </c>
      <c r="S53" s="61">
        <v>0</v>
      </c>
      <c r="T53" s="61"/>
      <c r="U53" s="97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97"/>
      <c r="G54" s="60">
        <v>0</v>
      </c>
      <c r="H54" s="61">
        <v>0</v>
      </c>
      <c r="I54" s="61"/>
      <c r="J54" s="61"/>
      <c r="K54" s="97"/>
      <c r="L54" s="60">
        <v>0</v>
      </c>
      <c r="M54" s="61">
        <v>0</v>
      </c>
      <c r="N54" s="61"/>
      <c r="O54" s="61"/>
      <c r="P54" s="97"/>
      <c r="Q54" s="60">
        <v>0</v>
      </c>
      <c r="R54" s="61">
        <v>0</v>
      </c>
      <c r="S54" s="61"/>
      <c r="T54" s="61"/>
      <c r="U54" s="97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97"/>
      <c r="G55" s="60">
        <v>0</v>
      </c>
      <c r="H55" s="61">
        <v>0</v>
      </c>
      <c r="I55" s="61">
        <v>0</v>
      </c>
      <c r="J55" s="61"/>
      <c r="K55" s="97"/>
      <c r="L55" s="60">
        <v>0</v>
      </c>
      <c r="M55" s="61">
        <v>0</v>
      </c>
      <c r="N55" s="61">
        <v>0</v>
      </c>
      <c r="O55" s="61"/>
      <c r="P55" s="97"/>
      <c r="Q55" s="60">
        <v>0</v>
      </c>
      <c r="R55" s="61">
        <v>0</v>
      </c>
      <c r="S55" s="61">
        <v>0</v>
      </c>
      <c r="T55" s="61"/>
      <c r="U55" s="97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97"/>
      <c r="G56" s="60">
        <f>4700</f>
        <v>4700</v>
      </c>
      <c r="H56" s="61">
        <f>-4700</f>
        <v>-4700</v>
      </c>
      <c r="I56" s="61"/>
      <c r="J56" s="61"/>
      <c r="K56" s="97"/>
      <c r="L56" s="60">
        <v>0</v>
      </c>
      <c r="M56" s="61">
        <v>0</v>
      </c>
      <c r="N56" s="61"/>
      <c r="O56" s="61"/>
      <c r="P56" s="97"/>
      <c r="Q56" s="60">
        <v>0</v>
      </c>
      <c r="R56" s="61">
        <v>0</v>
      </c>
      <c r="S56" s="61"/>
      <c r="T56" s="61"/>
      <c r="U56" s="97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97"/>
      <c r="G57" s="60"/>
      <c r="H57" s="61">
        <v>0</v>
      </c>
      <c r="I57" s="61">
        <v>0</v>
      </c>
      <c r="J57" s="61"/>
      <c r="K57" s="97"/>
      <c r="L57" s="60"/>
      <c r="M57" s="61">
        <v>0</v>
      </c>
      <c r="N57" s="61">
        <v>0</v>
      </c>
      <c r="O57" s="61"/>
      <c r="P57" s="97"/>
      <c r="Q57" s="60"/>
      <c r="R57" s="61">
        <v>0</v>
      </c>
      <c r="S57" s="61">
        <v>0</v>
      </c>
      <c r="T57" s="61"/>
      <c r="U57" s="97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97"/>
      <c r="G58" s="60">
        <v>0</v>
      </c>
      <c r="H58" s="61">
        <v>0</v>
      </c>
      <c r="I58" s="61"/>
      <c r="J58" s="61"/>
      <c r="K58" s="97"/>
      <c r="L58" s="60">
        <v>0</v>
      </c>
      <c r="M58" s="61">
        <v>0</v>
      </c>
      <c r="N58" s="61"/>
      <c r="O58" s="61"/>
      <c r="P58" s="97"/>
      <c r="Q58" s="60">
        <v>0</v>
      </c>
      <c r="R58" s="61">
        <v>0</v>
      </c>
      <c r="S58" s="61"/>
      <c r="T58" s="61"/>
      <c r="U58" s="97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97"/>
      <c r="G59" s="60">
        <v>0</v>
      </c>
      <c r="H59" s="61">
        <v>0</v>
      </c>
      <c r="I59" s="61"/>
      <c r="J59" s="61"/>
      <c r="K59" s="97"/>
      <c r="L59" s="60">
        <v>0</v>
      </c>
      <c r="M59" s="61">
        <v>0</v>
      </c>
      <c r="N59" s="61"/>
      <c r="O59" s="61"/>
      <c r="P59" s="97"/>
      <c r="Q59" s="60">
        <v>0</v>
      </c>
      <c r="R59" s="61">
        <v>0</v>
      </c>
      <c r="S59" s="61"/>
      <c r="T59" s="61"/>
      <c r="U59" s="97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97"/>
      <c r="G60" s="60">
        <v>0</v>
      </c>
      <c r="H60" s="61">
        <v>0</v>
      </c>
      <c r="I60" s="61"/>
      <c r="J60" s="61"/>
      <c r="K60" s="97"/>
      <c r="L60" s="60">
        <v>0</v>
      </c>
      <c r="M60" s="61">
        <v>0</v>
      </c>
      <c r="N60" s="61"/>
      <c r="O60" s="61"/>
      <c r="P60" s="97"/>
      <c r="Q60" s="60">
        <v>0</v>
      </c>
      <c r="R60" s="61">
        <v>0</v>
      </c>
      <c r="S60" s="61"/>
      <c r="T60" s="61"/>
      <c r="U60" s="97"/>
    </row>
    <row r="61" spans="1:21" ht="20" customHeight="1" x14ac:dyDescent="0.15">
      <c r="A61" s="12">
        <v>20</v>
      </c>
      <c r="B61" s="63"/>
      <c r="C61" s="61">
        <v>0</v>
      </c>
      <c r="D61" s="61">
        <v>0</v>
      </c>
      <c r="E61" s="61"/>
      <c r="F61" s="97"/>
      <c r="G61" s="60"/>
      <c r="H61" s="61">
        <v>0</v>
      </c>
      <c r="I61" s="61">
        <v>0</v>
      </c>
      <c r="J61" s="61"/>
      <c r="K61" s="97"/>
      <c r="L61" s="60"/>
      <c r="M61" s="61">
        <v>0</v>
      </c>
      <c r="N61" s="61">
        <v>0</v>
      </c>
      <c r="O61" s="61"/>
      <c r="P61" s="97"/>
      <c r="Q61" s="60"/>
      <c r="R61" s="61">
        <v>0</v>
      </c>
      <c r="S61" s="61">
        <v>0</v>
      </c>
      <c r="T61" s="61"/>
      <c r="U61" s="97"/>
    </row>
    <row r="62" spans="1:21" ht="20" customHeight="1" x14ac:dyDescent="0.15">
      <c r="A62" s="12">
        <v>21</v>
      </c>
      <c r="B62" s="63">
        <v>0</v>
      </c>
      <c r="C62" s="61">
        <v>0</v>
      </c>
      <c r="D62" s="61"/>
      <c r="E62" s="61"/>
      <c r="F62" s="97"/>
      <c r="G62" s="60">
        <v>0</v>
      </c>
      <c r="H62" s="61">
        <v>0</v>
      </c>
      <c r="I62" s="61"/>
      <c r="J62" s="61"/>
      <c r="K62" s="97"/>
      <c r="L62" s="60">
        <v>0</v>
      </c>
      <c r="M62" s="61">
        <v>0</v>
      </c>
      <c r="N62" s="61"/>
      <c r="O62" s="61"/>
      <c r="P62" s="97"/>
      <c r="Q62" s="60">
        <v>0</v>
      </c>
      <c r="R62" s="61">
        <v>0</v>
      </c>
      <c r="S62" s="61"/>
      <c r="T62" s="61"/>
      <c r="U62" s="97"/>
    </row>
    <row r="63" spans="1:21" ht="20" customHeight="1" x14ac:dyDescent="0.15">
      <c r="A63" s="12">
        <v>22</v>
      </c>
      <c r="B63" s="63">
        <v>0</v>
      </c>
      <c r="C63" s="61">
        <v>0</v>
      </c>
      <c r="D63" s="61"/>
      <c r="E63" s="61"/>
      <c r="F63" s="97"/>
      <c r="G63" s="60">
        <v>0</v>
      </c>
      <c r="H63" s="61">
        <v>0</v>
      </c>
      <c r="I63" s="61"/>
      <c r="J63" s="61"/>
      <c r="K63" s="97"/>
      <c r="L63" s="60">
        <v>0</v>
      </c>
      <c r="M63" s="61">
        <v>0</v>
      </c>
      <c r="N63" s="61"/>
      <c r="O63" s="61"/>
      <c r="P63" s="97"/>
      <c r="Q63" s="60">
        <v>0</v>
      </c>
      <c r="R63" s="61">
        <v>0</v>
      </c>
      <c r="S63" s="61"/>
      <c r="T63" s="61"/>
      <c r="U63" s="97"/>
    </row>
    <row r="64" spans="1:21" ht="20" customHeight="1" x14ac:dyDescent="0.15">
      <c r="A64" s="12">
        <v>23</v>
      </c>
      <c r="B64" s="63">
        <v>0</v>
      </c>
      <c r="C64" s="61">
        <v>0</v>
      </c>
      <c r="D64" s="61"/>
      <c r="E64" s="61"/>
      <c r="F64" s="97"/>
      <c r="G64" s="60">
        <v>0</v>
      </c>
      <c r="H64" s="61">
        <v>0</v>
      </c>
      <c r="I64" s="61"/>
      <c r="J64" s="61"/>
      <c r="K64" s="97"/>
      <c r="L64" s="60">
        <v>0</v>
      </c>
      <c r="M64" s="61">
        <v>0</v>
      </c>
      <c r="N64" s="61"/>
      <c r="O64" s="61"/>
      <c r="P64" s="97"/>
      <c r="Q64" s="60">
        <v>0</v>
      </c>
      <c r="R64" s="61">
        <v>0</v>
      </c>
      <c r="S64" s="61"/>
      <c r="T64" s="61"/>
      <c r="U64" s="97"/>
    </row>
    <row r="65" spans="1:21" ht="20" customHeight="1" x14ac:dyDescent="0.15">
      <c r="A65" s="12">
        <v>24</v>
      </c>
      <c r="B65" s="63"/>
      <c r="C65" s="61">
        <v>0</v>
      </c>
      <c r="D65" s="61">
        <v>0</v>
      </c>
      <c r="E65" s="61"/>
      <c r="F65" s="97"/>
      <c r="G65" s="60"/>
      <c r="H65" s="61">
        <v>0</v>
      </c>
      <c r="I65" s="61">
        <v>0</v>
      </c>
      <c r="J65" s="61"/>
      <c r="K65" s="97"/>
      <c r="L65" s="60"/>
      <c r="M65" s="61">
        <v>0</v>
      </c>
      <c r="N65" s="61">
        <v>0</v>
      </c>
      <c r="O65" s="61"/>
      <c r="P65" s="97"/>
      <c r="Q65" s="60"/>
      <c r="R65" s="61">
        <v>0</v>
      </c>
      <c r="S65" s="61">
        <v>0</v>
      </c>
      <c r="T65" s="61"/>
      <c r="U65" s="97"/>
    </row>
    <row r="66" spans="1:21" ht="20" customHeight="1" x14ac:dyDescent="0.15">
      <c r="A66" s="12">
        <v>25</v>
      </c>
      <c r="B66" s="63">
        <v>0</v>
      </c>
      <c r="C66" s="61">
        <v>0</v>
      </c>
      <c r="D66" s="61"/>
      <c r="E66" s="61"/>
      <c r="F66" s="97"/>
      <c r="G66" s="60">
        <v>0</v>
      </c>
      <c r="H66" s="61">
        <v>0</v>
      </c>
      <c r="I66" s="61"/>
      <c r="J66" s="61"/>
      <c r="K66" s="97"/>
      <c r="L66" s="60">
        <v>0</v>
      </c>
      <c r="M66" s="61">
        <v>0</v>
      </c>
      <c r="N66" s="61"/>
      <c r="O66" s="61"/>
      <c r="P66" s="97"/>
      <c r="Q66" s="60">
        <v>0</v>
      </c>
      <c r="R66" s="61">
        <v>0</v>
      </c>
      <c r="S66" s="61"/>
      <c r="T66" s="61"/>
      <c r="U66" s="97"/>
    </row>
    <row r="67" spans="1:21" ht="20" customHeight="1" x14ac:dyDescent="0.15">
      <c r="A67" s="12">
        <v>26</v>
      </c>
      <c r="B67" s="63">
        <v>0</v>
      </c>
      <c r="C67" s="61">
        <v>0</v>
      </c>
      <c r="D67" s="61"/>
      <c r="E67" s="61"/>
      <c r="F67" s="97"/>
      <c r="G67" s="60">
        <v>0</v>
      </c>
      <c r="H67" s="61">
        <v>0</v>
      </c>
      <c r="I67" s="61"/>
      <c r="J67" s="61"/>
      <c r="K67" s="97"/>
      <c r="L67" s="60">
        <v>0</v>
      </c>
      <c r="M67" s="61">
        <v>0</v>
      </c>
      <c r="N67" s="61"/>
      <c r="O67" s="61"/>
      <c r="P67" s="97"/>
      <c r="Q67" s="60">
        <v>0</v>
      </c>
      <c r="R67" s="61">
        <v>0</v>
      </c>
      <c r="S67" s="61"/>
      <c r="T67" s="61"/>
      <c r="U67" s="97"/>
    </row>
    <row r="68" spans="1:21" ht="20.75" customHeight="1" thickBot="1" x14ac:dyDescent="0.2">
      <c r="A68" s="17">
        <v>27</v>
      </c>
      <c r="B68" s="100">
        <v>0</v>
      </c>
      <c r="C68" s="90">
        <v>0</v>
      </c>
      <c r="D68" s="90"/>
      <c r="E68" s="90"/>
      <c r="F68" s="101"/>
      <c r="G68" s="89">
        <v>0</v>
      </c>
      <c r="H68" s="90">
        <v>0</v>
      </c>
      <c r="I68" s="90"/>
      <c r="J68" s="90"/>
      <c r="K68" s="101"/>
      <c r="L68" s="89">
        <v>0</v>
      </c>
      <c r="M68" s="90">
        <v>0</v>
      </c>
      <c r="N68" s="90"/>
      <c r="O68" s="90"/>
      <c r="P68" s="101"/>
      <c r="Q68" s="89">
        <v>0</v>
      </c>
      <c r="R68" s="90">
        <v>0</v>
      </c>
      <c r="S68" s="90"/>
      <c r="T68" s="90"/>
      <c r="U68" s="101"/>
    </row>
    <row r="69" spans="1:21" ht="20.75" customHeight="1" x14ac:dyDescent="0.15">
      <c r="A69" s="22">
        <v>0</v>
      </c>
      <c r="B69" s="92"/>
      <c r="C69" s="68">
        <v>0</v>
      </c>
      <c r="D69" s="68">
        <v>0</v>
      </c>
      <c r="E69" s="67"/>
      <c r="F69" s="93"/>
      <c r="G69" s="94"/>
      <c r="H69" s="68">
        <v>0</v>
      </c>
      <c r="I69" s="68">
        <v>0</v>
      </c>
      <c r="J69" s="67"/>
      <c r="K69" s="93"/>
      <c r="L69" s="94"/>
      <c r="M69" s="68">
        <v>0</v>
      </c>
      <c r="N69" s="68">
        <v>0</v>
      </c>
      <c r="O69" s="67"/>
      <c r="P69" s="93"/>
      <c r="Q69" s="94"/>
      <c r="R69" s="68">
        <v>0</v>
      </c>
      <c r="S69" s="68">
        <v>0</v>
      </c>
      <c r="T69" s="67"/>
      <c r="U69" s="93"/>
    </row>
    <row r="70" spans="1:21" ht="20" customHeight="1" x14ac:dyDescent="0.15">
      <c r="A70" s="12">
        <v>1</v>
      </c>
      <c r="B70" s="63">
        <v>0</v>
      </c>
      <c r="C70" s="61">
        <v>0</v>
      </c>
      <c r="D70" s="61"/>
      <c r="E70" s="62"/>
      <c r="F70" s="97"/>
      <c r="G70" s="60">
        <v>0</v>
      </c>
      <c r="H70" s="61">
        <v>0</v>
      </c>
      <c r="I70" s="61"/>
      <c r="J70" s="62"/>
      <c r="K70" s="97"/>
      <c r="L70" s="60">
        <v>0</v>
      </c>
      <c r="M70" s="61">
        <v>0</v>
      </c>
      <c r="N70" s="61"/>
      <c r="O70" s="62"/>
      <c r="P70" s="97"/>
      <c r="Q70" s="60">
        <v>0</v>
      </c>
      <c r="R70" s="61">
        <v>0</v>
      </c>
      <c r="S70" s="61"/>
      <c r="T70" s="62"/>
      <c r="U70" s="97"/>
    </row>
    <row r="71" spans="1:21" ht="20" customHeight="1" x14ac:dyDescent="0.15">
      <c r="A71" s="12">
        <v>2</v>
      </c>
      <c r="B71" s="63"/>
      <c r="C71" s="61">
        <v>0</v>
      </c>
      <c r="D71" s="61">
        <v>0</v>
      </c>
      <c r="E71" s="62"/>
      <c r="F71" s="97"/>
      <c r="G71" s="60"/>
      <c r="H71" s="61">
        <v>0</v>
      </c>
      <c r="I71" s="61">
        <v>0</v>
      </c>
      <c r="J71" s="62"/>
      <c r="K71" s="97"/>
      <c r="L71" s="60"/>
      <c r="M71" s="61">
        <v>0</v>
      </c>
      <c r="N71" s="61">
        <v>0</v>
      </c>
      <c r="O71" s="62"/>
      <c r="P71" s="97"/>
      <c r="Q71" s="60"/>
      <c r="R71" s="61">
        <v>0</v>
      </c>
      <c r="S71" s="61">
        <v>0</v>
      </c>
      <c r="T71" s="62"/>
      <c r="U71" s="97"/>
    </row>
    <row r="72" spans="1:21" ht="20" customHeight="1" x14ac:dyDescent="0.15">
      <c r="A72" s="12">
        <v>3</v>
      </c>
      <c r="B72" s="63">
        <v>0</v>
      </c>
      <c r="C72" s="61">
        <v>0</v>
      </c>
      <c r="D72" s="61"/>
      <c r="E72" s="62"/>
      <c r="F72" s="97"/>
      <c r="G72" s="60">
        <v>0</v>
      </c>
      <c r="H72" s="61">
        <v>0</v>
      </c>
      <c r="I72" s="61"/>
      <c r="J72" s="62"/>
      <c r="K72" s="97"/>
      <c r="L72" s="60">
        <v>0</v>
      </c>
      <c r="M72" s="61">
        <v>0</v>
      </c>
      <c r="N72" s="61"/>
      <c r="O72" s="62"/>
      <c r="P72" s="97"/>
      <c r="Q72" s="60">
        <v>0</v>
      </c>
      <c r="R72" s="61">
        <v>0</v>
      </c>
      <c r="S72" s="61"/>
      <c r="T72" s="62"/>
      <c r="U72" s="97"/>
    </row>
    <row r="73" spans="1:21" ht="20" customHeight="1" x14ac:dyDescent="0.15">
      <c r="A73" s="12">
        <v>4</v>
      </c>
      <c r="B73" s="63"/>
      <c r="C73" s="61">
        <v>0</v>
      </c>
      <c r="D73" s="61">
        <v>0</v>
      </c>
      <c r="E73" s="62"/>
      <c r="F73" s="97"/>
      <c r="G73" s="60"/>
      <c r="H73" s="61">
        <v>0</v>
      </c>
      <c r="I73" s="61">
        <v>0</v>
      </c>
      <c r="J73" s="62"/>
      <c r="K73" s="97"/>
      <c r="L73" s="60"/>
      <c r="M73" s="61">
        <v>0</v>
      </c>
      <c r="N73" s="61">
        <v>0</v>
      </c>
      <c r="O73" s="62"/>
      <c r="P73" s="97"/>
      <c r="Q73" s="60"/>
      <c r="R73" s="61">
        <v>0</v>
      </c>
      <c r="S73" s="61">
        <v>0</v>
      </c>
      <c r="T73" s="62"/>
      <c r="U73" s="97"/>
    </row>
    <row r="74" spans="1:21" ht="20" customHeight="1" x14ac:dyDescent="0.15">
      <c r="A74" s="12">
        <v>5</v>
      </c>
      <c r="B74" s="63">
        <v>0</v>
      </c>
      <c r="C74" s="61">
        <v>0</v>
      </c>
      <c r="D74" s="61"/>
      <c r="E74" s="62"/>
      <c r="F74" s="97"/>
      <c r="G74" s="60">
        <v>0</v>
      </c>
      <c r="H74" s="61">
        <v>0</v>
      </c>
      <c r="I74" s="61"/>
      <c r="J74" s="62"/>
      <c r="K74" s="97"/>
      <c r="L74" s="60">
        <v>0</v>
      </c>
      <c r="M74" s="61">
        <v>0</v>
      </c>
      <c r="N74" s="61"/>
      <c r="O74" s="62"/>
      <c r="P74" s="97"/>
      <c r="Q74" s="60">
        <v>0</v>
      </c>
      <c r="R74" s="61">
        <v>0</v>
      </c>
      <c r="S74" s="61"/>
      <c r="T74" s="62"/>
      <c r="U74" s="97"/>
    </row>
    <row r="75" spans="1:21" ht="20" customHeight="1" x14ac:dyDescent="0.15">
      <c r="A75" s="12">
        <v>6</v>
      </c>
      <c r="B75" s="63"/>
      <c r="C75" s="61">
        <v>0</v>
      </c>
      <c r="D75" s="61">
        <v>0</v>
      </c>
      <c r="E75" s="62"/>
      <c r="F75" s="97"/>
      <c r="G75" s="60"/>
      <c r="H75" s="61">
        <v>0</v>
      </c>
      <c r="I75" s="61">
        <v>0</v>
      </c>
      <c r="J75" s="62"/>
      <c r="K75" s="97"/>
      <c r="L75" s="60"/>
      <c r="M75" s="61">
        <v>0</v>
      </c>
      <c r="N75" s="61">
        <v>0</v>
      </c>
      <c r="O75" s="62"/>
      <c r="P75" s="97"/>
      <c r="Q75" s="60"/>
      <c r="R75" s="61">
        <v>0</v>
      </c>
      <c r="S75" s="61">
        <v>0</v>
      </c>
      <c r="T75" s="62"/>
      <c r="U75" s="97"/>
    </row>
    <row r="76" spans="1:21" ht="20" customHeight="1" x14ac:dyDescent="0.15">
      <c r="A76" s="12">
        <v>7</v>
      </c>
      <c r="B76" s="63">
        <v>0</v>
      </c>
      <c r="C76" s="61">
        <v>0</v>
      </c>
      <c r="D76" s="61"/>
      <c r="E76" s="62"/>
      <c r="F76" s="97"/>
      <c r="G76" s="60">
        <v>0</v>
      </c>
      <c r="H76" s="61">
        <v>0</v>
      </c>
      <c r="I76" s="61"/>
      <c r="J76" s="62"/>
      <c r="K76" s="97"/>
      <c r="L76" s="60">
        <v>0</v>
      </c>
      <c r="M76" s="61">
        <v>0</v>
      </c>
      <c r="N76" s="61"/>
      <c r="O76" s="62"/>
      <c r="P76" s="97"/>
      <c r="Q76" s="60">
        <v>0</v>
      </c>
      <c r="R76" s="61">
        <v>0</v>
      </c>
      <c r="S76" s="61"/>
      <c r="T76" s="62"/>
      <c r="U76" s="97"/>
    </row>
    <row r="77" spans="1:21" ht="20" customHeight="1" x14ac:dyDescent="0.15">
      <c r="A77" s="12">
        <v>8</v>
      </c>
      <c r="B77" s="63"/>
      <c r="C77" s="61">
        <v>0</v>
      </c>
      <c r="D77" s="61">
        <v>0</v>
      </c>
      <c r="E77" s="62"/>
      <c r="F77" s="97"/>
      <c r="G77" s="60"/>
      <c r="H77" s="61">
        <v>0</v>
      </c>
      <c r="I77" s="61">
        <v>0</v>
      </c>
      <c r="J77" s="62"/>
      <c r="K77" s="97"/>
      <c r="L77" s="60"/>
      <c r="M77" s="61">
        <v>0</v>
      </c>
      <c r="N77" s="61">
        <v>0</v>
      </c>
      <c r="O77" s="62"/>
      <c r="P77" s="97"/>
      <c r="Q77" s="60"/>
      <c r="R77" s="61">
        <v>0</v>
      </c>
      <c r="S77" s="61">
        <v>0</v>
      </c>
      <c r="T77" s="62"/>
      <c r="U77" s="97"/>
    </row>
    <row r="78" spans="1:21" ht="20" customHeight="1" x14ac:dyDescent="0.15">
      <c r="A78" s="12">
        <v>9</v>
      </c>
      <c r="B78" s="63">
        <v>0</v>
      </c>
      <c r="C78" s="61">
        <v>0</v>
      </c>
      <c r="D78" s="61"/>
      <c r="E78" s="62"/>
      <c r="F78" s="97"/>
      <c r="G78" s="60">
        <v>0</v>
      </c>
      <c r="H78" s="61">
        <v>0</v>
      </c>
      <c r="I78" s="61"/>
      <c r="J78" s="62"/>
      <c r="K78" s="97"/>
      <c r="L78" s="60">
        <v>0</v>
      </c>
      <c r="M78" s="61">
        <v>0</v>
      </c>
      <c r="N78" s="61"/>
      <c r="O78" s="62"/>
      <c r="P78" s="97"/>
      <c r="Q78" s="60">
        <v>0</v>
      </c>
      <c r="R78" s="61">
        <v>0</v>
      </c>
      <c r="S78" s="61"/>
      <c r="T78" s="62"/>
      <c r="U78" s="97"/>
    </row>
    <row r="79" spans="1:21" ht="20" customHeight="1" x14ac:dyDescent="0.15">
      <c r="A79" s="12">
        <v>10</v>
      </c>
      <c r="B79" s="63"/>
      <c r="C79" s="61">
        <v>0</v>
      </c>
      <c r="D79" s="61">
        <v>0</v>
      </c>
      <c r="E79" s="62"/>
      <c r="F79" s="97"/>
      <c r="G79" s="60"/>
      <c r="H79" s="61">
        <v>0</v>
      </c>
      <c r="I79" s="61">
        <v>0</v>
      </c>
      <c r="J79" s="62"/>
      <c r="K79" s="97"/>
      <c r="L79" s="60"/>
      <c r="M79" s="61">
        <v>0</v>
      </c>
      <c r="N79" s="61">
        <v>0</v>
      </c>
      <c r="O79" s="62"/>
      <c r="P79" s="97"/>
      <c r="Q79" s="60"/>
      <c r="R79" s="61">
        <v>0</v>
      </c>
      <c r="S79" s="61">
        <v>0</v>
      </c>
      <c r="T79" s="62"/>
      <c r="U79" s="97"/>
    </row>
    <row r="80" spans="1:21" ht="20" customHeight="1" x14ac:dyDescent="0.15">
      <c r="A80" s="12">
        <v>11</v>
      </c>
      <c r="B80" s="63">
        <v>0</v>
      </c>
      <c r="C80" s="61">
        <v>0</v>
      </c>
      <c r="D80" s="61"/>
      <c r="E80" s="62"/>
      <c r="F80" s="97"/>
      <c r="G80" s="60">
        <v>0</v>
      </c>
      <c r="H80" s="61">
        <v>0</v>
      </c>
      <c r="I80" s="61"/>
      <c r="J80" s="62"/>
      <c r="K80" s="97"/>
      <c r="L80" s="60">
        <v>0</v>
      </c>
      <c r="M80" s="61">
        <v>0</v>
      </c>
      <c r="N80" s="61"/>
      <c r="O80" s="62"/>
      <c r="P80" s="97"/>
      <c r="Q80" s="60">
        <v>0</v>
      </c>
      <c r="R80" s="61">
        <v>0</v>
      </c>
      <c r="S80" s="61"/>
      <c r="T80" s="62"/>
      <c r="U80" s="97"/>
    </row>
    <row r="81" spans="1:21" ht="20" customHeight="1" x14ac:dyDescent="0.15">
      <c r="A81" s="12">
        <v>12</v>
      </c>
      <c r="B81" s="63"/>
      <c r="C81" s="61">
        <v>0</v>
      </c>
      <c r="D81" s="61">
        <v>0</v>
      </c>
      <c r="E81" s="62"/>
      <c r="F81" s="97"/>
      <c r="G81" s="60"/>
      <c r="H81" s="61">
        <v>0</v>
      </c>
      <c r="I81" s="61">
        <v>0</v>
      </c>
      <c r="J81" s="62"/>
      <c r="K81" s="97"/>
      <c r="L81" s="60"/>
      <c r="M81" s="61">
        <f>-4950</f>
        <v>-4950</v>
      </c>
      <c r="N81" s="61">
        <f>4950</f>
        <v>4950</v>
      </c>
      <c r="O81" s="62"/>
      <c r="P81" s="97"/>
      <c r="Q81" s="60"/>
      <c r="R81" s="61">
        <v>0</v>
      </c>
      <c r="S81" s="61">
        <v>0</v>
      </c>
      <c r="T81" s="62"/>
      <c r="U81" s="97"/>
    </row>
    <row r="82" spans="1:21" ht="20" customHeight="1" x14ac:dyDescent="0.15">
      <c r="A82" s="12">
        <v>13</v>
      </c>
      <c r="B82" s="63">
        <v>0</v>
      </c>
      <c r="C82" s="61">
        <v>0</v>
      </c>
      <c r="D82" s="61"/>
      <c r="E82" s="62"/>
      <c r="F82" s="97"/>
      <c r="G82" s="60">
        <v>0</v>
      </c>
      <c r="H82" s="61">
        <v>0</v>
      </c>
      <c r="I82" s="61"/>
      <c r="J82" s="62"/>
      <c r="K82" s="97"/>
      <c r="L82" s="60">
        <v>0</v>
      </c>
      <c r="M82" s="61">
        <v>0</v>
      </c>
      <c r="N82" s="61"/>
      <c r="O82" s="62"/>
      <c r="P82" s="97"/>
      <c r="Q82" s="60">
        <v>0</v>
      </c>
      <c r="R82" s="61">
        <v>0</v>
      </c>
      <c r="S82" s="61"/>
      <c r="T82" s="62"/>
      <c r="U82" s="97"/>
    </row>
    <row r="83" spans="1:21" ht="20" customHeight="1" x14ac:dyDescent="0.15">
      <c r="A83" s="12">
        <v>14</v>
      </c>
      <c r="B83" s="63"/>
      <c r="C83" s="61">
        <v>0</v>
      </c>
      <c r="D83" s="61">
        <v>0</v>
      </c>
      <c r="E83" s="62"/>
      <c r="F83" s="97"/>
      <c r="G83" s="60"/>
      <c r="H83" s="61">
        <v>0</v>
      </c>
      <c r="I83" s="61">
        <v>0</v>
      </c>
      <c r="J83" s="62"/>
      <c r="K83" s="97"/>
      <c r="L83" s="60"/>
      <c r="M83" s="61">
        <v>0</v>
      </c>
      <c r="N83" s="61">
        <v>0</v>
      </c>
      <c r="O83" s="62"/>
      <c r="P83" s="97"/>
      <c r="Q83" s="60"/>
      <c r="R83" s="61">
        <v>0</v>
      </c>
      <c r="S83" s="61">
        <v>0</v>
      </c>
      <c r="T83" s="62"/>
      <c r="U83" s="97"/>
    </row>
    <row r="84" spans="1:21" ht="20" customHeight="1" x14ac:dyDescent="0.15">
      <c r="A84" s="12">
        <v>15</v>
      </c>
      <c r="B84" s="63">
        <v>0</v>
      </c>
      <c r="C84" s="61">
        <v>0</v>
      </c>
      <c r="D84" s="61"/>
      <c r="E84" s="62"/>
      <c r="F84" s="97"/>
      <c r="G84" s="60">
        <v>0</v>
      </c>
      <c r="H84" s="61">
        <v>0</v>
      </c>
      <c r="I84" s="61"/>
      <c r="J84" s="62"/>
      <c r="K84" s="97"/>
      <c r="L84" s="60">
        <v>0</v>
      </c>
      <c r="M84" s="61">
        <v>0</v>
      </c>
      <c r="N84" s="61"/>
      <c r="O84" s="62"/>
      <c r="P84" s="97"/>
      <c r="Q84" s="60">
        <v>0</v>
      </c>
      <c r="R84" s="61">
        <v>0</v>
      </c>
      <c r="S84" s="61"/>
      <c r="T84" s="62"/>
      <c r="U84" s="97"/>
    </row>
    <row r="85" spans="1:21" ht="20" customHeight="1" x14ac:dyDescent="0.15">
      <c r="A85" s="12">
        <v>16</v>
      </c>
      <c r="B85" s="63"/>
      <c r="C85" s="61">
        <v>0</v>
      </c>
      <c r="D85" s="61">
        <v>0</v>
      </c>
      <c r="E85" s="62"/>
      <c r="F85" s="97"/>
      <c r="G85" s="60"/>
      <c r="H85" s="61">
        <v>0</v>
      </c>
      <c r="I85" s="61">
        <v>0</v>
      </c>
      <c r="J85" s="62"/>
      <c r="K85" s="97"/>
      <c r="L85" s="60"/>
      <c r="M85" s="61">
        <v>0</v>
      </c>
      <c r="N85" s="61">
        <v>0</v>
      </c>
      <c r="O85" s="62"/>
      <c r="P85" s="97"/>
      <c r="Q85" s="60"/>
      <c r="R85" s="61">
        <v>0</v>
      </c>
      <c r="S85" s="61">
        <v>0</v>
      </c>
      <c r="T85" s="62"/>
      <c r="U85" s="97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97"/>
      <c r="G86" s="60">
        <v>0</v>
      </c>
      <c r="H86" s="61">
        <v>0</v>
      </c>
      <c r="I86" s="61"/>
      <c r="J86" s="62"/>
      <c r="K86" s="97"/>
      <c r="L86" s="60">
        <v>0</v>
      </c>
      <c r="M86" s="61">
        <v>0</v>
      </c>
      <c r="N86" s="61"/>
      <c r="O86" s="62"/>
      <c r="P86" s="97"/>
      <c r="Q86" s="60">
        <v>0</v>
      </c>
      <c r="R86" s="61">
        <v>0</v>
      </c>
      <c r="S86" s="61"/>
      <c r="T86" s="62"/>
      <c r="U86" s="97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97"/>
      <c r="G87" s="60"/>
      <c r="H87" s="61">
        <v>0</v>
      </c>
      <c r="I87" s="61">
        <v>0</v>
      </c>
      <c r="J87" s="62"/>
      <c r="K87" s="97"/>
      <c r="L87" s="60"/>
      <c r="M87" s="61">
        <v>0</v>
      </c>
      <c r="N87" s="61">
        <v>0</v>
      </c>
      <c r="O87" s="62"/>
      <c r="P87" s="97"/>
      <c r="Q87" s="60"/>
      <c r="R87" s="61">
        <v>0</v>
      </c>
      <c r="S87" s="61">
        <v>0</v>
      </c>
      <c r="T87" s="62"/>
      <c r="U87" s="97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97"/>
      <c r="G88" s="60">
        <v>0</v>
      </c>
      <c r="H88" s="61">
        <v>0</v>
      </c>
      <c r="I88" s="61"/>
      <c r="J88" s="62"/>
      <c r="K88" s="97"/>
      <c r="L88" s="60">
        <v>0</v>
      </c>
      <c r="M88" s="61">
        <v>0</v>
      </c>
      <c r="N88" s="61"/>
      <c r="O88" s="62"/>
      <c r="P88" s="97"/>
      <c r="Q88" s="60">
        <v>0</v>
      </c>
      <c r="R88" s="61">
        <v>0</v>
      </c>
      <c r="S88" s="61"/>
      <c r="T88" s="62"/>
      <c r="U88" s="97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97"/>
      <c r="G89" s="60"/>
      <c r="H89" s="61">
        <v>0</v>
      </c>
      <c r="I89" s="61">
        <v>0</v>
      </c>
      <c r="J89" s="62"/>
      <c r="K89" s="97"/>
      <c r="L89" s="60"/>
      <c r="M89" s="61">
        <v>0</v>
      </c>
      <c r="N89" s="61">
        <v>0</v>
      </c>
      <c r="O89" s="62"/>
      <c r="P89" s="97"/>
      <c r="Q89" s="60"/>
      <c r="R89" s="61">
        <v>0</v>
      </c>
      <c r="S89" s="61">
        <v>0</v>
      </c>
      <c r="T89" s="62"/>
      <c r="U89" s="97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97"/>
      <c r="G90" s="60">
        <v>0</v>
      </c>
      <c r="H90" s="61">
        <v>0</v>
      </c>
      <c r="I90" s="61"/>
      <c r="J90" s="62"/>
      <c r="K90" s="97"/>
      <c r="L90" s="60">
        <v>0</v>
      </c>
      <c r="M90" s="61">
        <v>0</v>
      </c>
      <c r="N90" s="61"/>
      <c r="O90" s="62"/>
      <c r="P90" s="97"/>
      <c r="Q90" s="60">
        <v>0</v>
      </c>
      <c r="R90" s="61">
        <v>0</v>
      </c>
      <c r="S90" s="61"/>
      <c r="T90" s="62"/>
      <c r="U90" s="97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97"/>
      <c r="G91" s="60"/>
      <c r="H91" s="61">
        <v>0</v>
      </c>
      <c r="I91" s="61">
        <v>0</v>
      </c>
      <c r="J91" s="62"/>
      <c r="K91" s="97"/>
      <c r="L91" s="60"/>
      <c r="M91" s="61">
        <v>0</v>
      </c>
      <c r="N91" s="61">
        <v>0</v>
      </c>
      <c r="O91" s="62"/>
      <c r="P91" s="97"/>
      <c r="Q91" s="60"/>
      <c r="R91" s="61">
        <v>0</v>
      </c>
      <c r="S91" s="61">
        <v>0</v>
      </c>
      <c r="T91" s="62"/>
      <c r="U91" s="97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97"/>
      <c r="G92" s="60">
        <v>0</v>
      </c>
      <c r="H92" s="61">
        <v>0</v>
      </c>
      <c r="I92" s="61"/>
      <c r="J92" s="62"/>
      <c r="K92" s="97"/>
      <c r="L92" s="60">
        <v>0</v>
      </c>
      <c r="M92" s="61">
        <v>0</v>
      </c>
      <c r="N92" s="61"/>
      <c r="O92" s="62"/>
      <c r="P92" s="97"/>
      <c r="Q92" s="60">
        <v>0</v>
      </c>
      <c r="R92" s="61">
        <v>0</v>
      </c>
      <c r="S92" s="61"/>
      <c r="T92" s="62"/>
      <c r="U92" s="97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97"/>
      <c r="G93" s="60"/>
      <c r="H93" s="61">
        <v>0</v>
      </c>
      <c r="I93" s="61">
        <v>0</v>
      </c>
      <c r="J93" s="62"/>
      <c r="K93" s="97"/>
      <c r="L93" s="60"/>
      <c r="M93" s="61">
        <v>0</v>
      </c>
      <c r="N93" s="61">
        <v>0</v>
      </c>
      <c r="O93" s="62"/>
      <c r="P93" s="97"/>
      <c r="Q93" s="60"/>
      <c r="R93" s="61">
        <v>0</v>
      </c>
      <c r="S93" s="61">
        <v>0</v>
      </c>
      <c r="T93" s="62"/>
      <c r="U93" s="97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97"/>
      <c r="G94" s="60">
        <v>0</v>
      </c>
      <c r="H94" s="61">
        <v>0</v>
      </c>
      <c r="I94" s="61"/>
      <c r="J94" s="62"/>
      <c r="K94" s="97"/>
      <c r="L94" s="60">
        <v>0</v>
      </c>
      <c r="M94" s="61">
        <v>0</v>
      </c>
      <c r="N94" s="61"/>
      <c r="O94" s="62"/>
      <c r="P94" s="97"/>
      <c r="Q94" s="60">
        <v>0</v>
      </c>
      <c r="R94" s="61">
        <v>0</v>
      </c>
      <c r="S94" s="61"/>
      <c r="T94" s="62"/>
      <c r="U94" s="97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97"/>
      <c r="G95" s="60">
        <v>0</v>
      </c>
      <c r="H95" s="61">
        <v>0</v>
      </c>
      <c r="I95" s="61"/>
      <c r="J95" s="62"/>
      <c r="K95" s="97"/>
      <c r="L95" s="60">
        <v>0</v>
      </c>
      <c r="M95" s="61">
        <v>0</v>
      </c>
      <c r="N95" s="61"/>
      <c r="O95" s="62"/>
      <c r="P95" s="97"/>
      <c r="Q95" s="60">
        <v>0</v>
      </c>
      <c r="R95" s="61">
        <v>0</v>
      </c>
      <c r="S95" s="61"/>
      <c r="T95" s="62"/>
      <c r="U95" s="97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97"/>
      <c r="G96" s="60">
        <v>0</v>
      </c>
      <c r="H96" s="61">
        <v>0</v>
      </c>
      <c r="I96" s="61"/>
      <c r="J96" s="62"/>
      <c r="K96" s="97"/>
      <c r="L96" s="60">
        <v>0</v>
      </c>
      <c r="M96" s="61">
        <v>0</v>
      </c>
      <c r="N96" s="61"/>
      <c r="O96" s="62"/>
      <c r="P96" s="97"/>
      <c r="Q96" s="60">
        <v>0</v>
      </c>
      <c r="R96" s="61">
        <v>0</v>
      </c>
      <c r="S96" s="61"/>
      <c r="T96" s="62"/>
      <c r="U96" s="97"/>
    </row>
    <row r="97" spans="1:21" ht="20" customHeight="1" x14ac:dyDescent="0.15">
      <c r="A97" s="12">
        <v>28</v>
      </c>
      <c r="B97" s="63"/>
      <c r="C97" s="61">
        <v>0</v>
      </c>
      <c r="D97" s="61">
        <v>0</v>
      </c>
      <c r="E97" s="62"/>
      <c r="F97" s="97"/>
      <c r="G97" s="60"/>
      <c r="H97" s="61">
        <v>0</v>
      </c>
      <c r="I97" s="61">
        <v>0</v>
      </c>
      <c r="J97" s="62"/>
      <c r="K97" s="97"/>
      <c r="L97" s="60"/>
      <c r="M97" s="61">
        <v>0</v>
      </c>
      <c r="N97" s="61">
        <v>0</v>
      </c>
      <c r="O97" s="62"/>
      <c r="P97" s="97"/>
      <c r="Q97" s="60"/>
      <c r="R97" s="61">
        <v>0</v>
      </c>
      <c r="S97" s="61">
        <v>0</v>
      </c>
      <c r="T97" s="62"/>
      <c r="U97" s="97"/>
    </row>
    <row r="98" spans="1:21" ht="20" customHeight="1" x14ac:dyDescent="0.15">
      <c r="A98" s="12">
        <v>29</v>
      </c>
      <c r="B98" s="63">
        <v>0</v>
      </c>
      <c r="C98" s="61">
        <v>0</v>
      </c>
      <c r="D98" s="61"/>
      <c r="E98" s="62"/>
      <c r="F98" s="97"/>
      <c r="G98" s="60">
        <v>0</v>
      </c>
      <c r="H98" s="61">
        <v>0</v>
      </c>
      <c r="I98" s="61"/>
      <c r="J98" s="62"/>
      <c r="K98" s="97"/>
      <c r="L98" s="60">
        <v>0</v>
      </c>
      <c r="M98" s="61">
        <v>0</v>
      </c>
      <c r="N98" s="61"/>
      <c r="O98" s="62"/>
      <c r="P98" s="97"/>
      <c r="Q98" s="60">
        <v>0</v>
      </c>
      <c r="R98" s="61">
        <v>0</v>
      </c>
      <c r="S98" s="61"/>
      <c r="T98" s="62"/>
      <c r="U98" s="97"/>
    </row>
    <row r="99" spans="1:21" ht="20" customHeight="1" x14ac:dyDescent="0.15">
      <c r="A99" s="12">
        <v>30</v>
      </c>
      <c r="B99" s="63">
        <v>0</v>
      </c>
      <c r="C99" s="61">
        <v>0</v>
      </c>
      <c r="D99" s="61"/>
      <c r="E99" s="62"/>
      <c r="F99" s="97"/>
      <c r="G99" s="60">
        <v>0</v>
      </c>
      <c r="H99" s="61">
        <v>0</v>
      </c>
      <c r="I99" s="61"/>
      <c r="J99" s="62"/>
      <c r="K99" s="97"/>
      <c r="L99" s="60">
        <v>0</v>
      </c>
      <c r="M99" s="61">
        <v>0</v>
      </c>
      <c r="N99" s="61"/>
      <c r="O99" s="62"/>
      <c r="P99" s="97"/>
      <c r="Q99" s="60">
        <v>0</v>
      </c>
      <c r="R99" s="61">
        <v>0</v>
      </c>
      <c r="S99" s="61"/>
      <c r="T99" s="62"/>
      <c r="U99" s="97"/>
    </row>
    <row r="100" spans="1:21" ht="20" customHeight="1" x14ac:dyDescent="0.15">
      <c r="A100" s="12">
        <v>31</v>
      </c>
      <c r="B100" s="63">
        <v>0</v>
      </c>
      <c r="C100" s="61">
        <v>0</v>
      </c>
      <c r="D100" s="61"/>
      <c r="E100" s="62"/>
      <c r="F100" s="97"/>
      <c r="G100" s="60">
        <v>0</v>
      </c>
      <c r="H100" s="61">
        <v>0</v>
      </c>
      <c r="I100" s="61"/>
      <c r="J100" s="62"/>
      <c r="K100" s="97"/>
      <c r="L100" s="60">
        <v>0</v>
      </c>
      <c r="M100" s="61">
        <v>0</v>
      </c>
      <c r="N100" s="61"/>
      <c r="O100" s="62"/>
      <c r="P100" s="97"/>
      <c r="Q100" s="60">
        <v>0</v>
      </c>
      <c r="R100" s="61">
        <v>0</v>
      </c>
      <c r="S100" s="61"/>
      <c r="T100" s="62"/>
      <c r="U100" s="97"/>
    </row>
    <row r="101" spans="1:21" ht="20" customHeight="1" x14ac:dyDescent="0.15">
      <c r="A101" s="12">
        <v>32</v>
      </c>
      <c r="B101" s="63"/>
      <c r="C101" s="61">
        <v>0</v>
      </c>
      <c r="D101" s="61">
        <v>0</v>
      </c>
      <c r="E101" s="62"/>
      <c r="F101" s="97"/>
      <c r="G101" s="60"/>
      <c r="H101" s="61">
        <v>0</v>
      </c>
      <c r="I101" s="61">
        <v>0</v>
      </c>
      <c r="J101" s="62"/>
      <c r="K101" s="97"/>
      <c r="L101" s="60"/>
      <c r="M101" s="61">
        <v>0</v>
      </c>
      <c r="N101" s="61">
        <v>0</v>
      </c>
      <c r="O101" s="62"/>
      <c r="P101" s="97"/>
      <c r="Q101" s="60"/>
      <c r="R101" s="61">
        <v>0</v>
      </c>
      <c r="S101" s="61">
        <v>0</v>
      </c>
      <c r="T101" s="62"/>
      <c r="U101" s="97"/>
    </row>
    <row r="102" spans="1:21" ht="20" customHeight="1" x14ac:dyDescent="0.15">
      <c r="A102" s="12">
        <v>33</v>
      </c>
      <c r="B102" s="63">
        <v>0</v>
      </c>
      <c r="C102" s="61">
        <v>0</v>
      </c>
      <c r="D102" s="61"/>
      <c r="E102" s="62"/>
      <c r="F102" s="97"/>
      <c r="G102" s="60">
        <v>0</v>
      </c>
      <c r="H102" s="61">
        <v>0</v>
      </c>
      <c r="I102" s="61"/>
      <c r="J102" s="62"/>
      <c r="K102" s="97"/>
      <c r="L102" s="60">
        <v>0</v>
      </c>
      <c r="M102" s="61">
        <v>0</v>
      </c>
      <c r="N102" s="61"/>
      <c r="O102" s="62"/>
      <c r="P102" s="97"/>
      <c r="Q102" s="60">
        <v>0</v>
      </c>
      <c r="R102" s="61">
        <v>0</v>
      </c>
      <c r="S102" s="61"/>
      <c r="T102" s="62"/>
      <c r="U102" s="97"/>
    </row>
    <row r="103" spans="1:21" ht="20" customHeight="1" x14ac:dyDescent="0.15">
      <c r="A103" s="12">
        <v>34</v>
      </c>
      <c r="B103" s="63">
        <v>0</v>
      </c>
      <c r="C103" s="61">
        <v>0</v>
      </c>
      <c r="D103" s="61"/>
      <c r="E103" s="62"/>
      <c r="F103" s="97"/>
      <c r="G103" s="60">
        <v>0</v>
      </c>
      <c r="H103" s="61">
        <v>0</v>
      </c>
      <c r="I103" s="61"/>
      <c r="J103" s="62"/>
      <c r="K103" s="97"/>
      <c r="L103" s="60">
        <v>0</v>
      </c>
      <c r="M103" s="61">
        <v>0</v>
      </c>
      <c r="N103" s="61"/>
      <c r="O103" s="62"/>
      <c r="P103" s="97"/>
      <c r="Q103" s="60">
        <v>0</v>
      </c>
      <c r="R103" s="61">
        <v>0</v>
      </c>
      <c r="S103" s="61"/>
      <c r="T103" s="62"/>
      <c r="U103" s="97"/>
    </row>
    <row r="104" spans="1:21" ht="20" customHeight="1" x14ac:dyDescent="0.15">
      <c r="A104" s="12">
        <v>35</v>
      </c>
      <c r="B104" s="63">
        <v>0</v>
      </c>
      <c r="C104" s="61">
        <v>0</v>
      </c>
      <c r="D104" s="61"/>
      <c r="E104" s="62"/>
      <c r="F104" s="97"/>
      <c r="G104" s="60">
        <v>0</v>
      </c>
      <c r="H104" s="61">
        <v>0</v>
      </c>
      <c r="I104" s="61"/>
      <c r="J104" s="62"/>
      <c r="K104" s="97"/>
      <c r="L104" s="60">
        <v>0</v>
      </c>
      <c r="M104" s="61">
        <v>0</v>
      </c>
      <c r="N104" s="61"/>
      <c r="O104" s="62"/>
      <c r="P104" s="97"/>
      <c r="Q104" s="60">
        <v>0</v>
      </c>
      <c r="R104" s="61">
        <v>0</v>
      </c>
      <c r="S104" s="61"/>
      <c r="T104" s="62"/>
      <c r="U104" s="97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tabSelected="1" zoomScale="90" zoomScaleNormal="90" workbookViewId="0">
      <pane xSplit="1" ySplit="2" topLeftCell="B3" activePane="bottomRight" state="frozen"/>
      <selection pane="topRight"/>
      <selection pane="bottomLeft"/>
      <selection pane="bottomRight" activeCell="I16" sqref="I16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80">
        <v>0</v>
      </c>
      <c r="C1" s="81"/>
      <c r="D1" s="81"/>
      <c r="E1" s="81"/>
      <c r="F1" s="82"/>
      <c r="G1" s="83">
        <v>1</v>
      </c>
      <c r="H1" s="81"/>
      <c r="I1" s="81"/>
      <c r="J1" s="81"/>
      <c r="K1" s="82"/>
      <c r="L1" s="83">
        <v>2</v>
      </c>
      <c r="M1" s="81"/>
      <c r="N1" s="81"/>
      <c r="O1" s="81"/>
      <c r="P1" s="82"/>
      <c r="Q1" s="83">
        <v>3</v>
      </c>
      <c r="R1" s="81"/>
      <c r="S1" s="81"/>
      <c r="T1" s="81"/>
      <c r="U1" s="82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-10000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J15" sqref="J15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2" spans="1:13" ht="20" customHeight="1" x14ac:dyDescent="0.15">
      <c r="A2" s="71"/>
      <c r="B2" s="80">
        <v>0</v>
      </c>
      <c r="C2" s="81"/>
      <c r="D2" s="85"/>
      <c r="E2" s="86">
        <v>1</v>
      </c>
      <c r="F2" s="81"/>
      <c r="G2" s="85"/>
      <c r="H2" s="86">
        <v>2</v>
      </c>
      <c r="I2" s="81"/>
      <c r="J2" s="85"/>
      <c r="K2" s="86">
        <v>3</v>
      </c>
      <c r="L2" s="81"/>
      <c r="M2" s="81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2" spans="1:13" ht="20" customHeight="1" x14ac:dyDescent="0.15">
      <c r="A2" s="3"/>
      <c r="B2" s="80">
        <v>0</v>
      </c>
      <c r="C2" s="81"/>
      <c r="D2" s="85"/>
      <c r="E2" s="86">
        <v>1</v>
      </c>
      <c r="F2" s="81"/>
      <c r="G2" s="85"/>
      <c r="H2" s="86">
        <v>2</v>
      </c>
      <c r="I2" s="81"/>
      <c r="J2" s="85"/>
      <c r="K2" s="86">
        <v>3</v>
      </c>
      <c r="L2" s="81"/>
      <c r="M2" s="81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11" activePane="bottomRight" state="frozen"/>
      <selection pane="topRight"/>
      <selection pane="bottomLeft"/>
      <selection pane="bottomRight" activeCell="C56" sqref="C5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sheetProtection sheet="1" objects="1" scenarios="1"/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2021-10-13T21:13:14Z</dcterms:modified>
</cp:coreProperties>
</file>