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FF613328-7E34-554B-8485-9FFA62440033}" xr6:coauthVersionLast="47" xr6:coauthVersionMax="47" xr10:uidLastSave="{00000000-0000-0000-0000-000000000000}"/>
  <bookViews>
    <workbookView xWindow="0" yWindow="0" windowWidth="25600" windowHeight="16000" xr2:uid="{00000000-000D-0000-FFFF-FFFF00000000}"/>
  </bookViews>
  <sheets>
    <sheet name="regrets 6 probs" sheetId="7" r:id="rId1"/>
    <sheet name="regrets 6" sheetId="5" r:id="rId2"/>
    <sheet name="regrets 4" sheetId="1" r:id="rId3"/>
    <sheet name="action counts 6" sheetId="6" r:id="rId4"/>
    <sheet name="action counts 4" sheetId="2" r:id="rId5"/>
    <sheet name="sequence table" sheetId="3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04" i="7" l="1"/>
  <c r="Q104" i="7"/>
  <c r="R103" i="7"/>
  <c r="Q103" i="7"/>
  <c r="R102" i="7"/>
  <c r="Q102" i="7"/>
  <c r="S101" i="7"/>
  <c r="R101" i="7"/>
  <c r="R100" i="7"/>
  <c r="Q100" i="7"/>
  <c r="R99" i="7"/>
  <c r="Q99" i="7"/>
  <c r="R98" i="7"/>
  <c r="Q98" i="7"/>
  <c r="S97" i="7"/>
  <c r="R97" i="7"/>
  <c r="R96" i="7"/>
  <c r="Q96" i="7"/>
  <c r="R95" i="7"/>
  <c r="Q95" i="7"/>
  <c r="R94" i="7"/>
  <c r="Q94" i="7"/>
  <c r="S93" i="7"/>
  <c r="R93" i="7"/>
  <c r="R92" i="7"/>
  <c r="Q92" i="7"/>
  <c r="S91" i="7"/>
  <c r="R91" i="7"/>
  <c r="R90" i="7"/>
  <c r="Q90" i="7"/>
  <c r="S89" i="7"/>
  <c r="R89" i="7"/>
  <c r="R88" i="7"/>
  <c r="Q88" i="7"/>
  <c r="S87" i="7"/>
  <c r="R87" i="7"/>
  <c r="R86" i="7"/>
  <c r="Q86" i="7"/>
  <c r="S85" i="7"/>
  <c r="R85" i="7"/>
  <c r="R84" i="7"/>
  <c r="Q84" i="7"/>
  <c r="S83" i="7"/>
  <c r="R83" i="7"/>
  <c r="R82" i="7"/>
  <c r="Q82" i="7"/>
  <c r="S81" i="7"/>
  <c r="R81" i="7"/>
  <c r="R80" i="7"/>
  <c r="Q80" i="7"/>
  <c r="S79" i="7"/>
  <c r="R79" i="7"/>
  <c r="R78" i="7"/>
  <c r="Q78" i="7"/>
  <c r="S77" i="7"/>
  <c r="R77" i="7"/>
  <c r="R76" i="7"/>
  <c r="Q76" i="7"/>
  <c r="S75" i="7"/>
  <c r="R75" i="7"/>
  <c r="R74" i="7"/>
  <c r="Q74" i="7"/>
  <c r="S73" i="7"/>
  <c r="R73" i="7"/>
  <c r="R72" i="7"/>
  <c r="Q72" i="7"/>
  <c r="S71" i="7"/>
  <c r="R71" i="7"/>
  <c r="R70" i="7"/>
  <c r="Q70" i="7"/>
  <c r="S69" i="7"/>
  <c r="R69" i="7"/>
  <c r="R68" i="7"/>
  <c r="Q68" i="7"/>
  <c r="R67" i="7"/>
  <c r="Q67" i="7"/>
  <c r="R66" i="7"/>
  <c r="Q66" i="7"/>
  <c r="S65" i="7"/>
  <c r="R65" i="7"/>
  <c r="R64" i="7"/>
  <c r="Q64" i="7"/>
  <c r="R63" i="7"/>
  <c r="Q63" i="7"/>
  <c r="R62" i="7"/>
  <c r="Q62" i="7"/>
  <c r="S61" i="7"/>
  <c r="R61" i="7"/>
  <c r="R60" i="7"/>
  <c r="Q60" i="7"/>
  <c r="R59" i="7"/>
  <c r="Q59" i="7"/>
  <c r="R58" i="7"/>
  <c r="Q58" i="7"/>
  <c r="S57" i="7"/>
  <c r="R57" i="7"/>
  <c r="R56" i="7"/>
  <c r="Q56" i="7"/>
  <c r="S55" i="7"/>
  <c r="R55" i="7"/>
  <c r="Q55" i="7"/>
  <c r="R54" i="7"/>
  <c r="Q54" i="7"/>
  <c r="S53" i="7"/>
  <c r="R53" i="7"/>
  <c r="Q53" i="7"/>
  <c r="R52" i="7"/>
  <c r="Q52" i="7"/>
  <c r="T51" i="7"/>
  <c r="S51" i="7"/>
  <c r="R51" i="7"/>
  <c r="R50" i="7"/>
  <c r="Q50" i="7"/>
  <c r="T49" i="7"/>
  <c r="S49" i="7"/>
  <c r="R49" i="7"/>
  <c r="R48" i="7"/>
  <c r="Q48" i="7"/>
  <c r="S47" i="7"/>
  <c r="R47" i="7"/>
  <c r="Q47" i="7"/>
  <c r="R46" i="7"/>
  <c r="Q46" i="7"/>
  <c r="S45" i="7"/>
  <c r="R45" i="7"/>
  <c r="Q45" i="7"/>
  <c r="R44" i="7"/>
  <c r="Q44" i="7"/>
  <c r="T43" i="7"/>
  <c r="S43" i="7"/>
  <c r="R43" i="7"/>
  <c r="R42" i="7"/>
  <c r="Q42" i="7"/>
  <c r="T41" i="7"/>
  <c r="S41" i="7"/>
  <c r="R41" i="7"/>
  <c r="R40" i="7"/>
  <c r="Q40" i="7"/>
  <c r="R39" i="7"/>
  <c r="Q39" i="7"/>
  <c r="R38" i="7"/>
  <c r="Q38" i="7"/>
  <c r="S37" i="7"/>
  <c r="R37" i="7"/>
  <c r="R36" i="7"/>
  <c r="Q36" i="7"/>
  <c r="R35" i="7"/>
  <c r="Q35" i="7"/>
  <c r="R34" i="7"/>
  <c r="Q34" i="7"/>
  <c r="S33" i="7"/>
  <c r="R33" i="7"/>
  <c r="R32" i="7"/>
  <c r="Q32" i="7"/>
  <c r="R31" i="7"/>
  <c r="Q31" i="7"/>
  <c r="R30" i="7"/>
  <c r="Q30" i="7"/>
  <c r="S29" i="7"/>
  <c r="R29" i="7"/>
  <c r="R28" i="7"/>
  <c r="Q28" i="7"/>
  <c r="S27" i="7"/>
  <c r="R27" i="7"/>
  <c r="R26" i="7"/>
  <c r="Q26" i="7"/>
  <c r="S25" i="7"/>
  <c r="R25" i="7"/>
  <c r="R24" i="7"/>
  <c r="Q24" i="7"/>
  <c r="S23" i="7"/>
  <c r="R23" i="7"/>
  <c r="R22" i="7"/>
  <c r="Q22" i="7"/>
  <c r="S21" i="7"/>
  <c r="R21" i="7"/>
  <c r="R20" i="7"/>
  <c r="Q20" i="7"/>
  <c r="R19" i="7"/>
  <c r="Q19" i="7"/>
  <c r="R18" i="7"/>
  <c r="Q18" i="7"/>
  <c r="S17" i="7"/>
  <c r="R17" i="7"/>
  <c r="R16" i="7"/>
  <c r="Q16" i="7"/>
  <c r="R15" i="7"/>
  <c r="Q15" i="7"/>
  <c r="R14" i="7"/>
  <c r="Q14" i="7"/>
  <c r="R13" i="7"/>
  <c r="Q13" i="7"/>
  <c r="S12" i="7"/>
  <c r="R12" i="7"/>
  <c r="S11" i="7"/>
  <c r="R11" i="7"/>
  <c r="Q11" i="7"/>
  <c r="R10" i="7"/>
  <c r="Q10" i="7"/>
  <c r="R9" i="7"/>
  <c r="Q9" i="7"/>
  <c r="R8" i="7"/>
  <c r="Q8" i="7"/>
  <c r="R7" i="7"/>
  <c r="Q7" i="7"/>
  <c r="S6" i="7"/>
  <c r="R6" i="7"/>
  <c r="R5" i="7"/>
  <c r="Q5" i="7"/>
  <c r="S4" i="7"/>
  <c r="R4" i="7"/>
  <c r="Q4" i="7"/>
  <c r="S3" i="7"/>
  <c r="R3" i="7"/>
  <c r="Q3" i="7"/>
  <c r="M104" i="7"/>
  <c r="L104" i="7"/>
  <c r="M103" i="7"/>
  <c r="L103" i="7"/>
  <c r="M102" i="7"/>
  <c r="L102" i="7"/>
  <c r="N101" i="7"/>
  <c r="M101" i="7"/>
  <c r="M100" i="7"/>
  <c r="L100" i="7"/>
  <c r="M99" i="7"/>
  <c r="L99" i="7"/>
  <c r="M98" i="7"/>
  <c r="L98" i="7"/>
  <c r="N97" i="7"/>
  <c r="M97" i="7"/>
  <c r="M96" i="7"/>
  <c r="L96" i="7"/>
  <c r="M95" i="7"/>
  <c r="L95" i="7"/>
  <c r="M94" i="7"/>
  <c r="L94" i="7"/>
  <c r="N93" i="7"/>
  <c r="M93" i="7"/>
  <c r="M92" i="7"/>
  <c r="L92" i="7"/>
  <c r="N91" i="7"/>
  <c r="M91" i="7"/>
  <c r="M90" i="7"/>
  <c r="L90" i="7"/>
  <c r="N89" i="7"/>
  <c r="M89" i="7"/>
  <c r="M88" i="7"/>
  <c r="L88" i="7"/>
  <c r="N87" i="7"/>
  <c r="M87" i="7"/>
  <c r="M86" i="7"/>
  <c r="L86" i="7"/>
  <c r="N85" i="7"/>
  <c r="M85" i="7"/>
  <c r="M84" i="7"/>
  <c r="L84" i="7"/>
  <c r="N83" i="7"/>
  <c r="M83" i="7"/>
  <c r="M82" i="7"/>
  <c r="L82" i="7"/>
  <c r="N81" i="7"/>
  <c r="M81" i="7"/>
  <c r="M80" i="7"/>
  <c r="L80" i="7"/>
  <c r="N79" i="7"/>
  <c r="M79" i="7"/>
  <c r="M78" i="7"/>
  <c r="L78" i="7"/>
  <c r="N77" i="7"/>
  <c r="M77" i="7"/>
  <c r="M76" i="7"/>
  <c r="L76" i="7"/>
  <c r="N75" i="7"/>
  <c r="M75" i="7"/>
  <c r="M74" i="7"/>
  <c r="L74" i="7"/>
  <c r="N73" i="7"/>
  <c r="M73" i="7"/>
  <c r="M72" i="7"/>
  <c r="L72" i="7"/>
  <c r="N71" i="7"/>
  <c r="M71" i="7"/>
  <c r="M70" i="7"/>
  <c r="L70" i="7"/>
  <c r="N69" i="7"/>
  <c r="M69" i="7"/>
  <c r="M68" i="7"/>
  <c r="L68" i="7"/>
  <c r="M67" i="7"/>
  <c r="L67" i="7"/>
  <c r="M66" i="7"/>
  <c r="L66" i="7"/>
  <c r="N65" i="7"/>
  <c r="M65" i="7"/>
  <c r="M64" i="7"/>
  <c r="L64" i="7"/>
  <c r="M63" i="7"/>
  <c r="L63" i="7"/>
  <c r="M62" i="7"/>
  <c r="L62" i="7"/>
  <c r="N61" i="7"/>
  <c r="M61" i="7"/>
  <c r="M60" i="7"/>
  <c r="L60" i="7"/>
  <c r="M59" i="7"/>
  <c r="L59" i="7"/>
  <c r="M58" i="7"/>
  <c r="L58" i="7"/>
  <c r="N57" i="7"/>
  <c r="M57" i="7"/>
  <c r="M56" i="7"/>
  <c r="L56" i="7"/>
  <c r="N55" i="7"/>
  <c r="M55" i="7"/>
  <c r="L55" i="7"/>
  <c r="M54" i="7"/>
  <c r="L54" i="7"/>
  <c r="N53" i="7"/>
  <c r="M53" i="7"/>
  <c r="L53" i="7"/>
  <c r="M52" i="7"/>
  <c r="L52" i="7"/>
  <c r="O51" i="7"/>
  <c r="N51" i="7"/>
  <c r="M51" i="7"/>
  <c r="M50" i="7"/>
  <c r="L50" i="7"/>
  <c r="O49" i="7"/>
  <c r="N49" i="7"/>
  <c r="M49" i="7"/>
  <c r="M48" i="7"/>
  <c r="L48" i="7"/>
  <c r="N47" i="7"/>
  <c r="M47" i="7"/>
  <c r="L47" i="7"/>
  <c r="M46" i="7"/>
  <c r="L46" i="7"/>
  <c r="N45" i="7"/>
  <c r="M45" i="7"/>
  <c r="L45" i="7"/>
  <c r="M44" i="7"/>
  <c r="L44" i="7"/>
  <c r="O43" i="7"/>
  <c r="N43" i="7"/>
  <c r="M43" i="7"/>
  <c r="M42" i="7"/>
  <c r="L42" i="7"/>
  <c r="O41" i="7"/>
  <c r="N41" i="7"/>
  <c r="M41" i="7"/>
  <c r="M40" i="7"/>
  <c r="L40" i="7"/>
  <c r="M39" i="7"/>
  <c r="L39" i="7"/>
  <c r="M38" i="7"/>
  <c r="L38" i="7"/>
  <c r="N37" i="7"/>
  <c r="M37" i="7"/>
  <c r="M36" i="7"/>
  <c r="L36" i="7"/>
  <c r="M35" i="7"/>
  <c r="L35" i="7"/>
  <c r="M34" i="7"/>
  <c r="L34" i="7"/>
  <c r="N33" i="7"/>
  <c r="M33" i="7"/>
  <c r="M32" i="7"/>
  <c r="L32" i="7"/>
  <c r="M31" i="7"/>
  <c r="L31" i="7"/>
  <c r="M30" i="7"/>
  <c r="L30" i="7"/>
  <c r="N29" i="7"/>
  <c r="M29" i="7"/>
  <c r="M28" i="7"/>
  <c r="L28" i="7"/>
  <c r="N27" i="7"/>
  <c r="M27" i="7"/>
  <c r="M26" i="7"/>
  <c r="L26" i="7"/>
  <c r="N25" i="7"/>
  <c r="M25" i="7"/>
  <c r="M24" i="7"/>
  <c r="L24" i="7"/>
  <c r="N23" i="7"/>
  <c r="M23" i="7"/>
  <c r="M22" i="7"/>
  <c r="L22" i="7"/>
  <c r="N21" i="7"/>
  <c r="M21" i="7"/>
  <c r="M20" i="7"/>
  <c r="L20" i="7"/>
  <c r="M19" i="7"/>
  <c r="L19" i="7"/>
  <c r="M18" i="7"/>
  <c r="L18" i="7"/>
  <c r="N17" i="7"/>
  <c r="M17" i="7"/>
  <c r="M16" i="7"/>
  <c r="L16" i="7"/>
  <c r="M15" i="7"/>
  <c r="L15" i="7"/>
  <c r="M14" i="7"/>
  <c r="L14" i="7"/>
  <c r="M13" i="7"/>
  <c r="L13" i="7"/>
  <c r="N12" i="7"/>
  <c r="M12" i="7"/>
  <c r="N11" i="7"/>
  <c r="M11" i="7"/>
  <c r="L11" i="7"/>
  <c r="M10" i="7"/>
  <c r="L10" i="7"/>
  <c r="M9" i="7"/>
  <c r="L9" i="7"/>
  <c r="M8" i="7"/>
  <c r="L8" i="7"/>
  <c r="M7" i="7"/>
  <c r="L7" i="7"/>
  <c r="N6" i="7"/>
  <c r="M6" i="7"/>
  <c r="M5" i="7"/>
  <c r="L5" i="7"/>
  <c r="N4" i="7"/>
  <c r="M4" i="7"/>
  <c r="L4" i="7"/>
  <c r="N3" i="7"/>
  <c r="M3" i="7"/>
  <c r="L3" i="7"/>
  <c r="H104" i="7"/>
  <c r="G104" i="7"/>
  <c r="H103" i="7"/>
  <c r="G103" i="7"/>
  <c r="H102" i="7"/>
  <c r="G102" i="7"/>
  <c r="I101" i="7"/>
  <c r="H101" i="7"/>
  <c r="H100" i="7"/>
  <c r="G100" i="7"/>
  <c r="H99" i="7"/>
  <c r="G99" i="7"/>
  <c r="H98" i="7"/>
  <c r="G98" i="7"/>
  <c r="I97" i="7"/>
  <c r="H97" i="7"/>
  <c r="H96" i="7"/>
  <c r="G96" i="7"/>
  <c r="H95" i="7"/>
  <c r="G95" i="7"/>
  <c r="H94" i="7"/>
  <c r="G94" i="7"/>
  <c r="I93" i="7"/>
  <c r="H93" i="7"/>
  <c r="H92" i="7"/>
  <c r="G92" i="7"/>
  <c r="I91" i="7"/>
  <c r="H91" i="7"/>
  <c r="H90" i="7"/>
  <c r="G90" i="7"/>
  <c r="I89" i="7"/>
  <c r="H89" i="7"/>
  <c r="H88" i="7"/>
  <c r="G88" i="7"/>
  <c r="I87" i="7"/>
  <c r="H87" i="7"/>
  <c r="H86" i="7"/>
  <c r="G86" i="7"/>
  <c r="I85" i="7"/>
  <c r="H85" i="7"/>
  <c r="H84" i="7"/>
  <c r="G84" i="7"/>
  <c r="I83" i="7"/>
  <c r="H83" i="7"/>
  <c r="H82" i="7"/>
  <c r="G82" i="7"/>
  <c r="I81" i="7"/>
  <c r="H81" i="7"/>
  <c r="H80" i="7"/>
  <c r="G80" i="7"/>
  <c r="I79" i="7"/>
  <c r="H79" i="7"/>
  <c r="H78" i="7"/>
  <c r="G78" i="7"/>
  <c r="I77" i="7"/>
  <c r="H77" i="7"/>
  <c r="H76" i="7"/>
  <c r="G76" i="7"/>
  <c r="I75" i="7"/>
  <c r="H75" i="7"/>
  <c r="H74" i="7"/>
  <c r="G74" i="7"/>
  <c r="I73" i="7"/>
  <c r="H73" i="7"/>
  <c r="H72" i="7"/>
  <c r="G72" i="7"/>
  <c r="I71" i="7"/>
  <c r="H71" i="7"/>
  <c r="H70" i="7"/>
  <c r="G70" i="7"/>
  <c r="I69" i="7"/>
  <c r="H69" i="7"/>
  <c r="H68" i="7"/>
  <c r="G68" i="7"/>
  <c r="H67" i="7"/>
  <c r="G67" i="7"/>
  <c r="H66" i="7"/>
  <c r="G66" i="7"/>
  <c r="I65" i="7"/>
  <c r="H65" i="7"/>
  <c r="H64" i="7"/>
  <c r="G64" i="7"/>
  <c r="H63" i="7"/>
  <c r="G63" i="7"/>
  <c r="H62" i="7"/>
  <c r="G62" i="7"/>
  <c r="I61" i="7"/>
  <c r="H61" i="7"/>
  <c r="H60" i="7"/>
  <c r="G60" i="7"/>
  <c r="H59" i="7"/>
  <c r="G59" i="7"/>
  <c r="H58" i="7"/>
  <c r="G58" i="7"/>
  <c r="I57" i="7"/>
  <c r="H57" i="7"/>
  <c r="H56" i="7"/>
  <c r="G56" i="7"/>
  <c r="I55" i="7"/>
  <c r="H55" i="7"/>
  <c r="G55" i="7"/>
  <c r="H54" i="7"/>
  <c r="G54" i="7"/>
  <c r="I53" i="7"/>
  <c r="H53" i="7"/>
  <c r="G53" i="7"/>
  <c r="H52" i="7"/>
  <c r="G52" i="7"/>
  <c r="J51" i="7"/>
  <c r="I51" i="7"/>
  <c r="H51" i="7"/>
  <c r="H50" i="7"/>
  <c r="G50" i="7"/>
  <c r="J49" i="7"/>
  <c r="I49" i="7"/>
  <c r="H49" i="7"/>
  <c r="H48" i="7"/>
  <c r="G48" i="7"/>
  <c r="I47" i="7"/>
  <c r="H47" i="7"/>
  <c r="G47" i="7"/>
  <c r="H46" i="7"/>
  <c r="G46" i="7"/>
  <c r="I45" i="7"/>
  <c r="H45" i="7"/>
  <c r="G45" i="7"/>
  <c r="H44" i="7"/>
  <c r="G44" i="7"/>
  <c r="J43" i="7"/>
  <c r="I43" i="7"/>
  <c r="H43" i="7"/>
  <c r="H42" i="7"/>
  <c r="G42" i="7"/>
  <c r="J41" i="7"/>
  <c r="I41" i="7"/>
  <c r="H41" i="7"/>
  <c r="H40" i="7"/>
  <c r="G40" i="7"/>
  <c r="H39" i="7"/>
  <c r="G39" i="7"/>
  <c r="H38" i="7"/>
  <c r="G38" i="7"/>
  <c r="I37" i="7"/>
  <c r="H37" i="7"/>
  <c r="H36" i="7"/>
  <c r="G36" i="7"/>
  <c r="H35" i="7"/>
  <c r="G35" i="7"/>
  <c r="H34" i="7"/>
  <c r="G34" i="7"/>
  <c r="I33" i="7"/>
  <c r="H33" i="7"/>
  <c r="H32" i="7"/>
  <c r="G32" i="7"/>
  <c r="H31" i="7"/>
  <c r="G31" i="7"/>
  <c r="H30" i="7"/>
  <c r="G30" i="7"/>
  <c r="I29" i="7"/>
  <c r="H29" i="7"/>
  <c r="H28" i="7"/>
  <c r="G28" i="7"/>
  <c r="I27" i="7"/>
  <c r="H27" i="7"/>
  <c r="H26" i="7"/>
  <c r="G26" i="7"/>
  <c r="I25" i="7"/>
  <c r="H25" i="7"/>
  <c r="H24" i="7"/>
  <c r="G24" i="7"/>
  <c r="I23" i="7"/>
  <c r="H23" i="7"/>
  <c r="H22" i="7"/>
  <c r="G22" i="7"/>
  <c r="I21" i="7"/>
  <c r="H21" i="7"/>
  <c r="H20" i="7"/>
  <c r="G20" i="7"/>
  <c r="H19" i="7"/>
  <c r="G19" i="7"/>
  <c r="H18" i="7"/>
  <c r="G18" i="7"/>
  <c r="I17" i="7"/>
  <c r="H17" i="7"/>
  <c r="H16" i="7"/>
  <c r="G16" i="7"/>
  <c r="H15" i="7"/>
  <c r="G15" i="7"/>
  <c r="H14" i="7"/>
  <c r="G14" i="7"/>
  <c r="H13" i="7"/>
  <c r="G13" i="7"/>
  <c r="I12" i="7"/>
  <c r="H12" i="7"/>
  <c r="I11" i="7"/>
  <c r="H11" i="7"/>
  <c r="G11" i="7"/>
  <c r="H10" i="7"/>
  <c r="G10" i="7"/>
  <c r="H9" i="7"/>
  <c r="G9" i="7"/>
  <c r="H8" i="7"/>
  <c r="G8" i="7"/>
  <c r="H7" i="7"/>
  <c r="G7" i="7"/>
  <c r="I6" i="7"/>
  <c r="H6" i="7"/>
  <c r="H5" i="7"/>
  <c r="G5" i="7"/>
  <c r="I4" i="7"/>
  <c r="H4" i="7"/>
  <c r="G4" i="7"/>
  <c r="I3" i="7"/>
  <c r="H3" i="7"/>
  <c r="G3" i="7"/>
  <c r="C104" i="7"/>
  <c r="B104" i="7"/>
  <c r="C103" i="7"/>
  <c r="B103" i="7"/>
  <c r="C102" i="7"/>
  <c r="B102" i="7"/>
  <c r="D101" i="7"/>
  <c r="C101" i="7"/>
  <c r="C100" i="7"/>
  <c r="B100" i="7"/>
  <c r="C99" i="7"/>
  <c r="B99" i="7"/>
  <c r="C98" i="7"/>
  <c r="B98" i="7"/>
  <c r="D97" i="7"/>
  <c r="C97" i="7"/>
  <c r="C96" i="7"/>
  <c r="B96" i="7"/>
  <c r="C95" i="7"/>
  <c r="B95" i="7"/>
  <c r="C94" i="7"/>
  <c r="B94" i="7"/>
  <c r="D93" i="7"/>
  <c r="C93" i="7"/>
  <c r="C92" i="7"/>
  <c r="B92" i="7"/>
  <c r="D91" i="7"/>
  <c r="C91" i="7"/>
  <c r="C90" i="7"/>
  <c r="B90" i="7"/>
  <c r="D89" i="7"/>
  <c r="C89" i="7"/>
  <c r="C88" i="7"/>
  <c r="B88" i="7"/>
  <c r="D87" i="7"/>
  <c r="C87" i="7"/>
  <c r="C86" i="7"/>
  <c r="B86" i="7"/>
  <c r="D85" i="7"/>
  <c r="C85" i="7"/>
  <c r="C84" i="7"/>
  <c r="B84" i="7"/>
  <c r="D83" i="7"/>
  <c r="C83" i="7"/>
  <c r="C82" i="7"/>
  <c r="B82" i="7"/>
  <c r="D81" i="7"/>
  <c r="C81" i="7"/>
  <c r="C80" i="7"/>
  <c r="B80" i="7"/>
  <c r="D79" i="7"/>
  <c r="C79" i="7"/>
  <c r="C78" i="7"/>
  <c r="B78" i="7"/>
  <c r="D77" i="7"/>
  <c r="C77" i="7"/>
  <c r="C76" i="7"/>
  <c r="B76" i="7"/>
  <c r="D75" i="7"/>
  <c r="C75" i="7"/>
  <c r="C74" i="7"/>
  <c r="B74" i="7"/>
  <c r="D73" i="7"/>
  <c r="C73" i="7"/>
  <c r="C72" i="7"/>
  <c r="B72" i="7"/>
  <c r="D71" i="7"/>
  <c r="C71" i="7"/>
  <c r="C70" i="7"/>
  <c r="B70" i="7"/>
  <c r="D69" i="7"/>
  <c r="C69" i="7"/>
  <c r="C68" i="7"/>
  <c r="B68" i="7"/>
  <c r="C67" i="7"/>
  <c r="B67" i="7"/>
  <c r="C66" i="7"/>
  <c r="B66" i="7"/>
  <c r="D65" i="7"/>
  <c r="C65" i="7"/>
  <c r="C64" i="7"/>
  <c r="B64" i="7"/>
  <c r="C63" i="7"/>
  <c r="B63" i="7"/>
  <c r="C62" i="7"/>
  <c r="B62" i="7"/>
  <c r="D61" i="7"/>
  <c r="C61" i="7"/>
  <c r="C60" i="7"/>
  <c r="B60" i="7"/>
  <c r="C59" i="7"/>
  <c r="B59" i="7"/>
  <c r="C58" i="7"/>
  <c r="B58" i="7"/>
  <c r="D57" i="7"/>
  <c r="C57" i="7"/>
  <c r="C56" i="7"/>
  <c r="B56" i="7"/>
  <c r="D55" i="7"/>
  <c r="C55" i="7"/>
  <c r="B55" i="7"/>
  <c r="C54" i="7"/>
  <c r="B54" i="7"/>
  <c r="D53" i="7"/>
  <c r="C53" i="7"/>
  <c r="B53" i="7"/>
  <c r="C52" i="7"/>
  <c r="B52" i="7"/>
  <c r="E51" i="7"/>
  <c r="D51" i="7"/>
  <c r="C51" i="7"/>
  <c r="C50" i="7"/>
  <c r="B50" i="7"/>
  <c r="E49" i="7"/>
  <c r="D49" i="7"/>
  <c r="C49" i="7"/>
  <c r="C48" i="7"/>
  <c r="B48" i="7"/>
  <c r="D47" i="7"/>
  <c r="C47" i="7"/>
  <c r="B47" i="7"/>
  <c r="C46" i="7"/>
  <c r="B46" i="7"/>
  <c r="D45" i="7"/>
  <c r="C45" i="7"/>
  <c r="B45" i="7"/>
  <c r="C44" i="7"/>
  <c r="B44" i="7"/>
  <c r="E43" i="7"/>
  <c r="D43" i="7"/>
  <c r="C43" i="7"/>
  <c r="C42" i="7"/>
  <c r="B42" i="7"/>
  <c r="E41" i="7"/>
  <c r="D41" i="7"/>
  <c r="C41" i="7"/>
  <c r="C40" i="7"/>
  <c r="B40" i="7"/>
  <c r="C39" i="7"/>
  <c r="B39" i="7"/>
  <c r="C38" i="7"/>
  <c r="B38" i="7"/>
  <c r="D37" i="7"/>
  <c r="C37" i="7"/>
  <c r="C36" i="7"/>
  <c r="B36" i="7"/>
  <c r="C35" i="7"/>
  <c r="B35" i="7"/>
  <c r="C34" i="7"/>
  <c r="B34" i="7"/>
  <c r="D33" i="7"/>
  <c r="C33" i="7"/>
  <c r="C32" i="7"/>
  <c r="B32" i="7"/>
  <c r="C31" i="7"/>
  <c r="B31" i="7"/>
  <c r="C30" i="7"/>
  <c r="B30" i="7"/>
  <c r="D29" i="7"/>
  <c r="C29" i="7"/>
  <c r="C28" i="7"/>
  <c r="B28" i="7"/>
  <c r="D27" i="7"/>
  <c r="C27" i="7"/>
  <c r="C26" i="7"/>
  <c r="B26" i="7"/>
  <c r="D25" i="7"/>
  <c r="C25" i="7"/>
  <c r="C24" i="7"/>
  <c r="B24" i="7"/>
  <c r="D23" i="7"/>
  <c r="C23" i="7"/>
  <c r="C22" i="7"/>
  <c r="B22" i="7"/>
  <c r="D21" i="7"/>
  <c r="C21" i="7"/>
  <c r="C20" i="7"/>
  <c r="B20" i="7"/>
  <c r="C19" i="7"/>
  <c r="B19" i="7"/>
  <c r="C18" i="7"/>
  <c r="B18" i="7"/>
  <c r="D17" i="7"/>
  <c r="C17" i="7"/>
  <c r="C16" i="7"/>
  <c r="B16" i="7"/>
  <c r="C15" i="7"/>
  <c r="B15" i="7"/>
  <c r="C14" i="7"/>
  <c r="B14" i="7"/>
  <c r="C13" i="7"/>
  <c r="B13" i="7"/>
  <c r="D12" i="7"/>
  <c r="C12" i="7"/>
  <c r="D11" i="7"/>
  <c r="C11" i="7"/>
  <c r="B11" i="7"/>
  <c r="C10" i="7"/>
  <c r="B10" i="7"/>
  <c r="C9" i="7"/>
  <c r="B9" i="7"/>
  <c r="C8" i="7"/>
  <c r="B8" i="7"/>
  <c r="C7" i="7"/>
  <c r="B7" i="7"/>
  <c r="D6" i="7"/>
  <c r="C6" i="7"/>
  <c r="C5" i="7"/>
  <c r="B5" i="7"/>
  <c r="D4" i="7"/>
  <c r="C4" i="7"/>
  <c r="B4" i="7"/>
  <c r="B3" i="7"/>
  <c r="C3" i="7"/>
  <c r="D3" i="7"/>
  <c r="G4" i="5"/>
  <c r="G4" i="1"/>
  <c r="S12" i="5"/>
  <c r="R12" i="5"/>
  <c r="I25" i="5"/>
  <c r="H25" i="5"/>
  <c r="J49" i="5"/>
  <c r="I49" i="5"/>
  <c r="H49" i="5"/>
  <c r="H56" i="5"/>
  <c r="G56" i="5"/>
  <c r="N81" i="5"/>
  <c r="M81" i="5"/>
  <c r="I11" i="5"/>
  <c r="H11" i="5"/>
  <c r="G11" i="5"/>
  <c r="S29" i="5"/>
  <c r="R29" i="5"/>
  <c r="R35" i="5"/>
  <c r="Q35" i="5"/>
  <c r="I3" i="5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B55" i="5" a="1"/>
  <c r="R3" i="5" a="1"/>
  <c r="R5" i="1" a="1"/>
  <c r="L26" i="1" a="1"/>
  <c r="Q5" i="1" a="1"/>
  <c r="B90" i="1" a="1"/>
  <c r="L26" i="5" a="1"/>
  <c r="C27" i="5" a="1"/>
  <c r="R3" i="1" a="1"/>
  <c r="C55" i="1" a="1"/>
  <c r="C55" i="5" a="1"/>
  <c r="D55" i="1" a="1"/>
  <c r="Q5" i="5" a="1"/>
  <c r="M26" i="5" a="1"/>
  <c r="D27" i="1" a="1"/>
  <c r="Q8" i="1" a="1"/>
  <c r="S3" i="5" a="1"/>
  <c r="Q3" i="5" a="1"/>
  <c r="S3" i="1" a="1"/>
  <c r="M26" i="1" a="1"/>
  <c r="C90" i="1" a="1"/>
  <c r="B90" i="5" a="1"/>
  <c r="R8" i="5" a="1"/>
  <c r="D55" i="5" a="1"/>
  <c r="R8" i="1" a="1"/>
  <c r="B55" i="1" a="1"/>
  <c r="Q8" i="5" a="1"/>
  <c r="C27" i="1" a="1"/>
  <c r="D27" i="5" a="1"/>
  <c r="C90" i="5" a="1"/>
  <c r="Q3" i="1" a="1"/>
  <c r="R5" i="5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<sst xmlns="http://schemas.openxmlformats.org/spreadsheetml/2006/main" count="207" uniqueCount="18">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</sst>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7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06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  <xf numFmtId="0" fontId="3" fillId="0" borderId="28" xfId="0" applyFont="1" applyBorder="1" applyAlignment="1">
      <alignment vertical="top" wrapText="1"/>
    </xf>
    <xf numFmtId="0" fontId="3" fillId="0" borderId="29" xfId="0" applyFont="1" applyBorder="1" applyAlignment="1">
      <alignment vertical="top" wrapText="1"/>
    </xf>
    <xf numFmtId="0" fontId="3" fillId="0" borderId="25" xfId="0" applyNumberFormat="1" applyFont="1" applyBorder="1" applyAlignment="1">
      <alignment vertical="top" wrapText="1"/>
    </xf>
    <xf numFmtId="0" fontId="3" fillId="0" borderId="16" xfId="0" applyNumberFormat="1" applyFont="1" applyBorder="1" applyAlignment="1">
      <alignment vertical="top" wrapText="1"/>
    </xf>
    <xf numFmtId="0" fontId="3" fillId="0" borderId="30" xfId="0" applyFont="1" applyBorder="1" applyAlignment="1">
      <alignment vertical="top" wrapText="1"/>
    </xf>
    <xf numFmtId="0" fontId="3" fillId="0" borderId="20" xfId="0" applyNumberFormat="1" applyFont="1" applyBorder="1" applyAlignment="1">
      <alignment vertical="top" wrapText="1"/>
    </xf>
    <xf numFmtId="0" fontId="3" fillId="0" borderId="31" xfId="0" applyNumberFormat="1" applyFont="1" applyBorder="1" applyAlignment="1">
      <alignment vertical="top" wrapText="1"/>
    </xf>
    <xf numFmtId="0" fontId="3" fillId="0" borderId="26" xfId="0" applyNumberFormat="1" applyFont="1" applyBorder="1" applyAlignment="1">
      <alignment vertical="top" wrapText="1"/>
    </xf>
    <xf numFmtId="0" fontId="3" fillId="0" borderId="26" xfId="0" applyFont="1" applyBorder="1" applyAlignment="1">
      <alignment vertical="top" wrapText="1"/>
    </xf>
    <xf numFmtId="0" fontId="3" fillId="0" borderId="31" xfId="0" applyFont="1" applyBorder="1" applyAlignment="1">
      <alignment vertical="top" wrapText="1"/>
    </xf>
    <xf numFmtId="0" fontId="3" fillId="0" borderId="29" xfId="0" applyNumberFormat="1" applyFont="1" applyBorder="1" applyAlignment="1">
      <alignment vertical="top" wrapText="1"/>
    </xf>
    <xf numFmtId="0" fontId="3" fillId="0" borderId="24" xfId="0" applyFont="1" applyBorder="1">
      <alignment vertical="top" wrapText="1"/>
    </xf>
    <xf numFmtId="0" fontId="3" fillId="0" borderId="1" xfId="0" applyFont="1" applyBorder="1">
      <alignment vertical="top" wrapText="1"/>
    </xf>
    <xf numFmtId="0" fontId="3" fillId="0" borderId="15" xfId="0" applyNumberFormat="1" applyFont="1" applyBorder="1" applyAlignment="1">
      <alignment vertical="top" wrapText="1"/>
    </xf>
    <xf numFmtId="0" fontId="3" fillId="0" borderId="30" xfId="0" applyNumberFormat="1" applyFont="1" applyBorder="1" applyAlignment="1">
      <alignment vertical="top" wrapText="1"/>
    </xf>
    <xf numFmtId="0" fontId="3" fillId="0" borderId="25" xfId="0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4" xfId="0" applyNumberFormat="1" applyFont="1" applyFill="1" applyBorder="1" applyAlignment="1">
      <alignment horizontal="center" vertical="top" wrapText="1"/>
    </xf>
    <xf numFmtId="0" fontId="2" fillId="2" borderId="35" xfId="0" applyNumberFormat="1" applyFont="1" applyFill="1" applyBorder="1" applyAlignment="1">
      <alignment horizontal="center" vertical="top" wrapText="1"/>
    </xf>
    <xf numFmtId="0" fontId="2" fillId="2" borderId="36" xfId="0" applyNumberFormat="1" applyFont="1" applyFill="1" applyBorder="1" applyAlignment="1">
      <alignment horizontal="center"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0BFF5-04F3-664B-B687-218D17FF991A}">
  <sheetPr codeName="Sheet6">
    <pageSetUpPr fitToPage="1"/>
  </sheetPr>
  <dimension ref="A1:U104"/>
  <sheetViews>
    <sheetView showGridLines="0" tabSelected="1" zoomScale="75" zoomScaleNormal="90" workbookViewId="0">
      <pane xSplit="1" ySplit="2" topLeftCell="H74" activePane="bottomRight" state="frozen"/>
      <selection pane="topRight"/>
      <selection pane="bottomLeft"/>
      <selection pane="bottomRight" activeCell="Q69" sqref="Q69:U104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100"/>
      <c r="I1" s="100"/>
      <c r="J1" s="100"/>
      <c r="K1" s="101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f>IF(SUMIF('regrets 6'!$B3:$F3, "&gt;0") &gt; 0, MAX('regrets 6'!B3, 0) / SUMIF('regrets 6'!$B3:$F3, "&gt;0"), 1 / COUNT('regrets 6'!$B3:$F3))</f>
        <v>1</v>
      </c>
      <c r="C3" s="64">
        <f>MAX('regrets 6'!C3, 0) / SUMIF('regrets 6'!$B3:$F3, "&gt;0")</f>
        <v>0</v>
      </c>
      <c r="D3" s="64">
        <f>MAX('regrets 6'!D3, 0) / SUMIF('regrets 6'!$B3:$F3, "&gt;0")</f>
        <v>0</v>
      </c>
      <c r="E3" s="58"/>
      <c r="F3" s="80"/>
      <c r="G3" s="64">
        <f>IF(SUMIF('regrets 6'!$G3:$K3, "&gt;0") &gt; 0, MAX('regrets 6'!G3, 0) / SUMIF('regrets 6'!$G3:$K3, "&gt;0"), 1 / COUNT('regrets 6'!$G3:$K3))</f>
        <v>4.8053349024222806E-3</v>
      </c>
      <c r="H3" s="64">
        <f>IF(SUMIF('regrets 6'!$G3:$K3, "&gt;0") &gt; 0, MAX('regrets 6'!H3, 0) / SUMIF('regrets 6'!$G3:$K3, "&gt;0"), 1 / COUNT('regrets 6'!$G3:$K3))</f>
        <v>0.50985583995292738</v>
      </c>
      <c r="I3" s="64">
        <f>IF(SUMIF('regrets 6'!$G3:$K3, "&gt;0") &gt; 0, MAX('regrets 6'!I3, 0) / SUMIF('regrets 6'!$G3:$K3, "&gt;0"), 1 / COUNT('regrets 6'!$G3:$K3))</f>
        <v>0.48533882514465038</v>
      </c>
      <c r="J3" s="58"/>
      <c r="K3" s="80"/>
      <c r="L3" s="60">
        <f>IF(SUMIF('regrets 6'!$L3:$P3, "&gt;0") &gt; 0, MAX('regrets 6'!L3, 0) / SUMIF('regrets 6'!$L3:$P3, "&gt;0"), 1 / COUNT('regrets 6'!$L3:$P3))</f>
        <v>0.33333333333333331</v>
      </c>
      <c r="M3" s="60">
        <f>IF(SUMIF('regrets 6'!$L3:$P3, "&gt;0") &gt; 0, MAX('regrets 6'!M3, 0) / SUMIF('regrets 6'!$L3:$P3, "&gt;0"), 1 / COUNT('regrets 6'!$L3:$P3))</f>
        <v>0.33333333333333331</v>
      </c>
      <c r="N3" s="60">
        <f>IF(SUMIF('regrets 6'!$L3:$P3, "&gt;0") &gt; 0, MAX('regrets 6'!N3, 0) / SUMIF('regrets 6'!$L3:$P3, "&gt;0"), 1 / COUNT('regrets 6'!$L3:$P3))</f>
        <v>0.33333333333333331</v>
      </c>
      <c r="O3" s="58"/>
      <c r="P3" s="80"/>
      <c r="Q3" s="60">
        <f>IF(SUMIF('regrets 6'!$Q3:$U3, "&gt;0") &gt; 0, MAX('regrets 6'!Q3, 0) / SUMIF('regrets 6'!$Q3:$U3, "&gt;0"), 1 / COUNT('regrets 6'!$Q3:$U3))</f>
        <v>0.36998223801065722</v>
      </c>
      <c r="R3" s="60">
        <f>IF(SUMIF('regrets 6'!$Q3:$U3, "&gt;0") &gt; 0, MAX('regrets 6'!R3, 0) / SUMIF('regrets 6'!$Q3:$U3, "&gt;0"), 1 / COUNT('regrets 6'!$Q3:$U3))</f>
        <v>0.37229129662522203</v>
      </c>
      <c r="S3" s="60">
        <f>IF(SUMIF('regrets 6'!$Q3:$U3, "&gt;0") &gt; 0, MAX('regrets 6'!S3, 0) / SUMIF('regrets 6'!$Q3:$U3, "&gt;0"), 1 / COUNT('regrets 6'!$Q3:$U3))</f>
        <v>0.2577264653641208</v>
      </c>
      <c r="T3" s="58"/>
      <c r="U3" s="80"/>
    </row>
    <row r="4" spans="1:21" ht="20" customHeight="1" x14ac:dyDescent="0.15">
      <c r="A4" s="12">
        <v>1</v>
      </c>
      <c r="B4" s="61">
        <f>IF(SUMIF('regrets 6'!$B4:$F4, "&gt;0") &gt; 0, MAX('regrets 6'!B4, 0) / SUMIF('regrets 6'!$B4:$F4, "&gt;0"), 1 / COUNT('regrets 6'!$B4:$F4))</f>
        <v>0.33333333333333331</v>
      </c>
      <c r="C4" s="61">
        <f>IF(SUMIF('regrets 6'!$B4:$F4, "&gt;0") &gt; 0, MAX('regrets 6'!C4, 0) / SUMIF('regrets 6'!$B4:$F4, "&gt;0"), 1 / COUNT('regrets 6'!$B4:$F4))</f>
        <v>0.33333333333333331</v>
      </c>
      <c r="D4" s="61">
        <f>IF(SUMIF('regrets 6'!$B4:$F4, "&gt;0") &gt; 0, MAX('regrets 6'!D4, 0) / SUMIF('regrets 6'!$B4:$F4, "&gt;0"), 1 / COUNT('regrets 6'!$B4:$F4))</f>
        <v>0.33333333333333331</v>
      </c>
      <c r="E4" s="62"/>
      <c r="F4" s="81"/>
      <c r="G4" s="60">
        <f>IF(SUMIF('regrets 6'!$G4:$K4, "&gt;0") &gt; 0, MAX('regrets 6'!G4, 0) / SUMIF('regrets 6'!$G4:$K4, "&gt;0"), 1 / COUNT('regrets 6'!$G4:$K4))</f>
        <v>1</v>
      </c>
      <c r="H4" s="60">
        <f>IF(SUMIF('regrets 6'!$G4:$K4, "&gt;0") &gt; 0, MAX('regrets 6'!H4, 0) / SUMIF('regrets 6'!$G4:$K4, "&gt;0"), 1 / COUNT('regrets 6'!$G4:$K4))</f>
        <v>0</v>
      </c>
      <c r="I4" s="60">
        <f>IF(SUMIF('regrets 6'!$G4:$K4, "&gt;0") &gt; 0, MAX('regrets 6'!I4, 0) / SUMIF('regrets 6'!$G4:$K4, "&gt;0"), 1 / COUNT('regrets 6'!$G4:$K4))</f>
        <v>0</v>
      </c>
      <c r="J4" s="62"/>
      <c r="K4" s="81"/>
      <c r="L4" s="60">
        <f>IF(SUMIF('regrets 6'!$L4:$P4, "&gt;0") &gt; 0, MAX('regrets 6'!L4, 0) / SUMIF('regrets 6'!$L4:$P4, "&gt;0"), 1 / COUNT('regrets 6'!$L4:$P4))</f>
        <v>0.32812708583633693</v>
      </c>
      <c r="M4" s="60">
        <f>IF(SUMIF('regrets 6'!$L4:$P4, "&gt;0") &gt; 0, MAX('regrets 6'!M4, 0) / SUMIF('regrets 6'!$L4:$P4, "&gt;0"), 1 / COUNT('regrets 6'!$L4:$P4))</f>
        <v>0</v>
      </c>
      <c r="N4" s="60">
        <f>IF(SUMIF('regrets 6'!$L4:$P4, "&gt;0") &gt; 0, MAX('regrets 6'!N4, 0) / SUMIF('regrets 6'!$L4:$P4, "&gt;0"), 1 / COUNT('regrets 6'!$L4:$P4))</f>
        <v>0.67187291416366302</v>
      </c>
      <c r="O4" s="62"/>
      <c r="P4" s="81"/>
      <c r="Q4" s="60">
        <f>IF(SUMIF('regrets 6'!$Q4:$U4, "&gt;0") &gt; 0, MAX('regrets 6'!Q4, 0) / SUMIF('regrets 6'!$Q4:$U4, "&gt;0"), 1 / COUNT('regrets 6'!$Q4:$U4))</f>
        <v>0.33333333333333331</v>
      </c>
      <c r="R4" s="61">
        <f>IF(SUMIF('regrets 6'!$Q4:$U4, "&gt;0") &gt; 0, MAX('regrets 6'!R4, 0) / SUMIF('regrets 6'!$Q4:$U4, "&gt;0"), 1 / COUNT('regrets 6'!$Q4:$U4))</f>
        <v>0.33333333333333331</v>
      </c>
      <c r="S4" s="61">
        <f>IF(SUMIF('regrets 6'!$Q4:$U4, "&gt;0") &gt; 0, MAX('regrets 6'!S4, 0) / SUMIF('regrets 6'!$Q4:$U4, "&gt;0"), 1 / COUNT('regrets 6'!$Q4:$U4))</f>
        <v>0.33333333333333331</v>
      </c>
      <c r="T4" s="62"/>
      <c r="U4" s="81"/>
    </row>
    <row r="5" spans="1:21" ht="20" customHeight="1" x14ac:dyDescent="0.15">
      <c r="A5" s="12">
        <v>2</v>
      </c>
      <c r="B5" s="61">
        <f>IF(SUMIF('regrets 6'!$B5:$F5, "&gt;0") &gt; 0, MAX('regrets 6'!B5, 0) / SUMIF('regrets 6'!$B5:$F5, "&gt;0"), 1 / COUNT('regrets 6'!$B5:$F5))</f>
        <v>0.5</v>
      </c>
      <c r="C5" s="61">
        <f>IF(SUMIF('regrets 6'!$B5:$F5, "&gt;0") &gt; 0, MAX('regrets 6'!C5, 0) / SUMIF('regrets 6'!$B5:$F5, "&gt;0"), 1 / COUNT('regrets 6'!$B5:$F5))</f>
        <v>0.5</v>
      </c>
      <c r="D5" s="61"/>
      <c r="E5" s="62"/>
      <c r="F5" s="81"/>
      <c r="G5" s="60">
        <f>IF(SUMIF('regrets 6'!$G5:$K5, "&gt;0") &gt; 0, MAX('regrets 6'!G5, 0) / SUMIF('regrets 6'!$G5:$K5, "&gt;0"), 1 / COUNT('regrets 6'!$G5:$K5))</f>
        <v>0.5</v>
      </c>
      <c r="H5" s="60">
        <f>IF(SUMIF('regrets 6'!$G5:$K5, "&gt;0") &gt; 0, MAX('regrets 6'!H5, 0) / SUMIF('regrets 6'!$G5:$K5, "&gt;0"), 1 / COUNT('regrets 6'!$G5:$K5))</f>
        <v>0.5</v>
      </c>
      <c r="I5" s="61"/>
      <c r="J5" s="62"/>
      <c r="K5" s="81"/>
      <c r="L5" s="60">
        <f>IF(SUMIF('regrets 6'!$L5:$P5, "&gt;0") &gt; 0, MAX('regrets 6'!L5, 0) / SUMIF('regrets 6'!$L5:$P5, "&gt;0"), 1 / COUNT('regrets 6'!$L5:$P5))</f>
        <v>0.5</v>
      </c>
      <c r="M5" s="60">
        <f>IF(SUMIF('regrets 6'!$L5:$P5, "&gt;0") &gt; 0, MAX('regrets 6'!M5, 0) / SUMIF('regrets 6'!$L5:$P5, "&gt;0"), 1 / COUNT('regrets 6'!$L5:$P5))</f>
        <v>0.5</v>
      </c>
      <c r="N5" s="61"/>
      <c r="O5" s="62"/>
      <c r="P5" s="81"/>
      <c r="Q5" s="60">
        <f>IF(SUMIF('regrets 6'!$Q5:$U5, "&gt;0") &gt; 0, MAX('regrets 6'!Q5, 0) / SUMIF('regrets 6'!$Q5:$U5, "&gt;0"), 1 / COUNT('regrets 6'!$Q5:$U5))</f>
        <v>0</v>
      </c>
      <c r="R5" s="60">
        <f>IF(SUMIF('regrets 6'!$Q5:$U5, "&gt;0") &gt; 0, MAX('regrets 6'!R5, 0) / SUMIF('regrets 6'!$Q5:$U5, "&gt;0"), 1 / COUNT('regrets 6'!$Q5:$U5))</f>
        <v>1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f>IF(SUMIF('regrets 6'!$B6:$F6, "&gt;0") &gt; 0, MAX('regrets 6'!C6, 0) / SUMIF('regrets 6'!$B6:$F6, "&gt;0"), 1 / COUNT('regrets 6'!$B6:$F6))</f>
        <v>0.5</v>
      </c>
      <c r="D6" s="61">
        <f>IF(SUMIF('regrets 6'!$B6:$F6, "&gt;0") &gt; 0, MAX('regrets 6'!D6, 0) / SUMIF('regrets 6'!$B6:$F6, "&gt;0"), 1 / COUNT('regrets 6'!$B6:$F6))</f>
        <v>0.5</v>
      </c>
      <c r="E6" s="62"/>
      <c r="F6" s="81"/>
      <c r="G6" s="60"/>
      <c r="H6" s="60">
        <f>IF(SUMIF('regrets 6'!$G6:$K6, "&gt;0") &gt; 0, MAX('regrets 6'!H6, 0) / SUMIF('regrets 6'!$G6:$K6, "&gt;0"), 1 / COUNT('regrets 6'!$G6:$K6))</f>
        <v>0.5</v>
      </c>
      <c r="I6" s="60">
        <f>IF(SUMIF('regrets 6'!$G6:$K6, "&gt;0") &gt; 0, MAX('regrets 6'!I6, 0) / SUMIF('regrets 6'!$G6:$K6, "&gt;0"), 1 / COUNT('regrets 6'!$G6:$K6))</f>
        <v>0.5</v>
      </c>
      <c r="J6" s="62"/>
      <c r="K6" s="81"/>
      <c r="L6" s="60"/>
      <c r="M6" s="60">
        <f>IF(SUMIF('regrets 6'!$L6:$P6, "&gt;0") &gt; 0, MAX('regrets 6'!M6, 0) / SUMIF('regrets 6'!$L6:$P6, "&gt;0"), 1 / COUNT('regrets 6'!$L6:$P6))</f>
        <v>0.5</v>
      </c>
      <c r="N6" s="60">
        <f>IF(SUMIF('regrets 6'!$L6:$P6, "&gt;0") &gt; 0, MAX('regrets 6'!N6, 0) / SUMIF('regrets 6'!$L6:$P6, "&gt;0"), 1 / COUNT('regrets 6'!$L6:$P6))</f>
        <v>0.5</v>
      </c>
      <c r="O6" s="62"/>
      <c r="P6" s="81"/>
      <c r="Q6" s="60"/>
      <c r="R6" s="60">
        <f>IF(SUMIF('regrets 6'!$Q6:$U6, "&gt;0") &gt; 0, MAX('regrets 6'!R6, 0) / SUMIF('regrets 6'!$Q6:$U6, "&gt;0"), 1 / COUNT('regrets 6'!$Q6:$U6))</f>
        <v>0.5</v>
      </c>
      <c r="S6" s="60">
        <f>IF(SUMIF('regrets 6'!$Q6:$U6, "&gt;0") &gt; 0, MAX('regrets 6'!S6, 0) / SUMIF('regrets 6'!$Q6:$U6, "&gt;0"), 1 / COUNT('regrets 6'!$Q6:$U6))</f>
        <v>0.5</v>
      </c>
      <c r="T6" s="62"/>
      <c r="U6" s="81"/>
    </row>
    <row r="7" spans="1:21" ht="20" customHeight="1" x14ac:dyDescent="0.15">
      <c r="A7" s="12">
        <v>4</v>
      </c>
      <c r="B7" s="61">
        <f>IF(SUMIF('regrets 6'!$B7:$F7, "&gt;0") &gt; 0, MAX('regrets 6'!B7, 0) / SUMIF('regrets 6'!$B7:$F7, "&gt;0"), 1 / COUNT('regrets 6'!$B7:$F7))</f>
        <v>0.5</v>
      </c>
      <c r="C7" s="61">
        <f>IF(SUMIF('regrets 6'!$B7:$F7, "&gt;0") &gt; 0, MAX('regrets 6'!C7, 0) / SUMIF('regrets 6'!$B7:$F7, "&gt;0"), 1 / COUNT('regrets 6'!$B7:$F7))</f>
        <v>0.5</v>
      </c>
      <c r="D7" s="61"/>
      <c r="E7" s="62"/>
      <c r="F7" s="81"/>
      <c r="G7" s="60">
        <f>IF(SUMIF('regrets 6'!$G7:$K7, "&gt;0") &gt; 0, MAX('regrets 6'!G7, 0) / SUMIF('regrets 6'!$G7:$K7, "&gt;0"), 1 / COUNT('regrets 6'!$G7:$K7))</f>
        <v>0.5</v>
      </c>
      <c r="H7" s="60">
        <f>IF(SUMIF('regrets 6'!$G7:$K7, "&gt;0") &gt; 0, MAX('regrets 6'!H7, 0) / SUMIF('regrets 6'!$G7:$K7, "&gt;0"), 1 / COUNT('regrets 6'!$G7:$K7))</f>
        <v>0.5</v>
      </c>
      <c r="I7" s="61"/>
      <c r="J7" s="62"/>
      <c r="K7" s="81"/>
      <c r="L7" s="60">
        <f>IF(SUMIF('regrets 6'!$L7:$P7, "&gt;0") &gt; 0, MAX('regrets 6'!L7, 0) / SUMIF('regrets 6'!$L7:$P7, "&gt;0"), 1 / COUNT('regrets 6'!$L7:$P7))</f>
        <v>0.5</v>
      </c>
      <c r="M7" s="60">
        <f>IF(SUMIF('regrets 6'!$L7:$P7, "&gt;0") &gt; 0, MAX('regrets 6'!M7, 0) / SUMIF('regrets 6'!$L7:$P7, "&gt;0"), 1 / COUNT('regrets 6'!$L7:$P7))</f>
        <v>0.5</v>
      </c>
      <c r="N7" s="61"/>
      <c r="O7" s="62"/>
      <c r="P7" s="81"/>
      <c r="Q7" s="60">
        <f>IF(SUMIF('regrets 6'!$Q7:$U7, "&gt;0") &gt; 0, MAX('regrets 6'!Q7, 0) / SUMIF('regrets 6'!$Q7:$U7, "&gt;0"), 1 / COUNT('regrets 6'!$Q7:$U7))</f>
        <v>0.5</v>
      </c>
      <c r="R7" s="60">
        <f>IF(SUMIF('regrets 6'!$Q7:$U7, "&gt;0") &gt; 0, MAX('regrets 6'!R7, 0) / SUMIF('regrets 6'!$Q7:$U7, "&gt;0"), 1 / COUNT('regrets 6'!$Q7:$U7))</f>
        <v>0.5</v>
      </c>
      <c r="S7" s="61"/>
      <c r="T7" s="62"/>
      <c r="U7" s="81"/>
    </row>
    <row r="8" spans="1:21" ht="20" customHeight="1" x14ac:dyDescent="0.15">
      <c r="A8" s="12">
        <v>5</v>
      </c>
      <c r="B8" s="61">
        <f>IF(SUMIF('regrets 6'!$B8:$F8, "&gt;0") &gt; 0, MAX('regrets 6'!B8, 0) / SUMIF('regrets 6'!$B8:$F8, "&gt;0"), 1 / COUNT('regrets 6'!$B8:$F8))</f>
        <v>0.5</v>
      </c>
      <c r="C8" s="61">
        <f>IF(SUMIF('regrets 6'!$B8:$F8, "&gt;0") &gt; 0, MAX('regrets 6'!C8, 0) / SUMIF('regrets 6'!$B8:$F8, "&gt;0"), 1 / COUNT('regrets 6'!$B8:$F8))</f>
        <v>0.5</v>
      </c>
      <c r="D8" s="61"/>
      <c r="E8" s="62"/>
      <c r="F8" s="81"/>
      <c r="G8" s="60">
        <f>IF(SUMIF('regrets 6'!$G8:$K8, "&gt;0") &gt; 0, MAX('regrets 6'!G8, 0) / SUMIF('regrets 6'!$G8:$K8, "&gt;0"), 1 / COUNT('regrets 6'!$G8:$K8))</f>
        <v>0.5</v>
      </c>
      <c r="H8" s="60">
        <f>IF(SUMIF('regrets 6'!$G8:$K8, "&gt;0") &gt; 0, MAX('regrets 6'!H8, 0) / SUMIF('regrets 6'!$G8:$K8, "&gt;0"), 1 / COUNT('regrets 6'!$G8:$K8))</f>
        <v>0.5</v>
      </c>
      <c r="I8" s="61"/>
      <c r="J8" s="62"/>
      <c r="K8" s="81"/>
      <c r="L8" s="60">
        <f>IF(SUMIF('regrets 6'!$L8:$P8, "&gt;0") &gt; 0, MAX('regrets 6'!L8, 0) / SUMIF('regrets 6'!$L8:$P8, "&gt;0"), 1 / COUNT('regrets 6'!$L8:$P8))</f>
        <v>0.5</v>
      </c>
      <c r="M8" s="60">
        <f>IF(SUMIF('regrets 6'!$L8:$P8, "&gt;0") &gt; 0, MAX('regrets 6'!M8, 0) / SUMIF('regrets 6'!$L8:$P8, "&gt;0"), 1 / COUNT('regrets 6'!$L8:$P8))</f>
        <v>0.5</v>
      </c>
      <c r="N8" s="61"/>
      <c r="O8" s="62"/>
      <c r="P8" s="81"/>
      <c r="Q8" s="60">
        <f>IF(SUMIF('regrets 6'!$Q8:$U8, "&gt;0") &gt; 0, MAX('regrets 6'!Q8, 0) / SUMIF('regrets 6'!$Q8:$U8, "&gt;0"), 1 / COUNT('regrets 6'!$Q8:$U8))</f>
        <v>0</v>
      </c>
      <c r="R8" s="60">
        <f>IF(SUMIF('regrets 6'!$Q8:$U8, "&gt;0") &gt; 0, MAX('regrets 6'!R8, 0) / SUMIF('regrets 6'!$Q8:$U8, "&gt;0"), 1 / COUNT('regrets 6'!$Q8:$U8))</f>
        <v>1</v>
      </c>
      <c r="S8" s="61"/>
      <c r="T8" s="62"/>
      <c r="U8" s="81"/>
    </row>
    <row r="9" spans="1:21" ht="20" customHeight="1" x14ac:dyDescent="0.15">
      <c r="A9" s="12">
        <v>6</v>
      </c>
      <c r="B9" s="61">
        <f>IF(SUMIF('regrets 6'!$B9:$F9, "&gt;0") &gt; 0, MAX('regrets 6'!B9, 0) / SUMIF('regrets 6'!$B9:$F9, "&gt;0"), 1 / COUNT('regrets 6'!$B9:$F9))</f>
        <v>0.5</v>
      </c>
      <c r="C9" s="61">
        <f>IF(SUMIF('regrets 6'!$B9:$F9, "&gt;0") &gt; 0, MAX('regrets 6'!C9, 0) / SUMIF('regrets 6'!$B9:$F9, "&gt;0"), 1 / COUNT('regrets 6'!$B9:$F9))</f>
        <v>0.5</v>
      </c>
      <c r="D9" s="61"/>
      <c r="E9" s="62"/>
      <c r="F9" s="81"/>
      <c r="G9" s="60">
        <f>IF(SUMIF('regrets 6'!$G9:$K9, "&gt;0") &gt; 0, MAX('regrets 6'!G9, 0) / SUMIF('regrets 6'!$G9:$K9, "&gt;0"), 1 / COUNT('regrets 6'!$G9:$K9))</f>
        <v>0.5</v>
      </c>
      <c r="H9" s="60">
        <f>IF(SUMIF('regrets 6'!$G9:$K9, "&gt;0") &gt; 0, MAX('regrets 6'!H9, 0) / SUMIF('regrets 6'!$G9:$K9, "&gt;0"), 1 / COUNT('regrets 6'!$G9:$K9))</f>
        <v>0.5</v>
      </c>
      <c r="I9" s="61"/>
      <c r="J9" s="62"/>
      <c r="K9" s="81"/>
      <c r="L9" s="60">
        <f>IF(SUMIF('regrets 6'!$L9:$P9, "&gt;0") &gt; 0, MAX('regrets 6'!L9, 0) / SUMIF('regrets 6'!$L9:$P9, "&gt;0"), 1 / COUNT('regrets 6'!$L9:$P9))</f>
        <v>0.5</v>
      </c>
      <c r="M9" s="60">
        <f>IF(SUMIF('regrets 6'!$L9:$P9, "&gt;0") &gt; 0, MAX('regrets 6'!M9, 0) / SUMIF('regrets 6'!$L9:$P9, "&gt;0"), 1 / COUNT('regrets 6'!$L9:$P9))</f>
        <v>0.5</v>
      </c>
      <c r="N9" s="61"/>
      <c r="O9" s="62"/>
      <c r="P9" s="81"/>
      <c r="Q9" s="60">
        <f>IF(SUMIF('regrets 6'!$Q9:$U9, "&gt;0") &gt; 0, MAX('regrets 6'!Q9, 0) / SUMIF('regrets 6'!$Q9:$U9, "&gt;0"), 1 / COUNT('regrets 6'!$Q9:$U9))</f>
        <v>0.5</v>
      </c>
      <c r="R9" s="60">
        <f>IF(SUMIF('regrets 6'!$Q9:$U9, "&gt;0") &gt; 0, MAX('regrets 6'!R9, 0) / SUMIF('regrets 6'!$Q9:$U9, "&gt;0"), 1 / COUNT('regrets 6'!$Q9:$U9))</f>
        <v>0.5</v>
      </c>
      <c r="S9" s="61"/>
      <c r="T9" s="62"/>
      <c r="U9" s="81"/>
    </row>
    <row r="10" spans="1:21" ht="20" customHeight="1" x14ac:dyDescent="0.15">
      <c r="A10" s="12">
        <v>7</v>
      </c>
      <c r="B10" s="61">
        <f>IF(SUMIF('regrets 6'!$B10:$F10, "&gt;0") &gt; 0, MAX('regrets 6'!B10, 0) / SUMIF('regrets 6'!$B10:$F10, "&gt;0"), 1 / COUNT('regrets 6'!$B10:$F10))</f>
        <v>0.5</v>
      </c>
      <c r="C10" s="61">
        <f>IF(SUMIF('regrets 6'!$B10:$F10, "&gt;0") &gt; 0, MAX('regrets 6'!C10, 0) / SUMIF('regrets 6'!$B10:$F10, "&gt;0"), 1 / COUNT('regrets 6'!$B10:$F10))</f>
        <v>0.5</v>
      </c>
      <c r="D10" s="61"/>
      <c r="E10" s="62"/>
      <c r="F10" s="81"/>
      <c r="G10" s="60">
        <f>IF(SUMIF('regrets 6'!$G10:$K10, "&gt;0") &gt; 0, MAX('regrets 6'!G10, 0) / SUMIF('regrets 6'!$G10:$K10, "&gt;0"), 1 / COUNT('regrets 6'!$G10:$K10))</f>
        <v>0.5</v>
      </c>
      <c r="H10" s="60">
        <f>IF(SUMIF('regrets 6'!$G10:$K10, "&gt;0") &gt; 0, MAX('regrets 6'!H10, 0) / SUMIF('regrets 6'!$G10:$K10, "&gt;0"), 1 / COUNT('regrets 6'!$G10:$K10))</f>
        <v>0.5</v>
      </c>
      <c r="I10" s="61"/>
      <c r="J10" s="62"/>
      <c r="K10" s="81"/>
      <c r="L10" s="60">
        <f>IF(SUMIF('regrets 6'!$L10:$P10, "&gt;0") &gt; 0, MAX('regrets 6'!L10, 0) / SUMIF('regrets 6'!$L10:$P10, "&gt;0"), 1 / COUNT('regrets 6'!$L10:$P10))</f>
        <v>1</v>
      </c>
      <c r="M10" s="60">
        <f>IF(SUMIF('regrets 6'!$L10:$P10, "&gt;0") &gt; 0, MAX('regrets 6'!M10, 0) / SUMIF('regrets 6'!$L10:$P10, "&gt;0"), 1 / COUNT('regrets 6'!$L10:$P10))</f>
        <v>0</v>
      </c>
      <c r="N10" s="61"/>
      <c r="O10" s="62"/>
      <c r="P10" s="81"/>
      <c r="Q10" s="60">
        <f>IF(SUMIF('regrets 6'!$Q10:$U10, "&gt;0") &gt; 0, MAX('regrets 6'!Q10, 0) / SUMIF('regrets 6'!$Q10:$U10, "&gt;0"), 1 / COUNT('regrets 6'!$Q10:$U10))</f>
        <v>0.5</v>
      </c>
      <c r="R10" s="60">
        <f>IF(SUMIF('regrets 6'!$Q10:$U10, "&gt;0") &gt; 0, MAX('regrets 6'!R10, 0) / SUMIF('regrets 6'!$Q10:$U10, "&gt;0"), 1 / COUNT('regrets 6'!$Q10:$U10))</f>
        <v>0.5</v>
      </c>
      <c r="S10" s="61"/>
      <c r="T10" s="62"/>
      <c r="U10" s="81"/>
    </row>
    <row r="11" spans="1:21" ht="20" customHeight="1" x14ac:dyDescent="0.15">
      <c r="A11" s="12">
        <v>8</v>
      </c>
      <c r="B11" s="61">
        <f>IF(SUMIF('regrets 6'!$B11:$F11, "&gt;0") &gt; 0, MAX('regrets 6'!B11, 0) / SUMIF('regrets 6'!$B11:$F11, "&gt;0"), 1 / COUNT('regrets 6'!$B11:$F11))</f>
        <v>0.33333333333333331</v>
      </c>
      <c r="C11" s="61">
        <f>IF(SUMIF('regrets 6'!$B11:$F11, "&gt;0") &gt; 0, MAX('regrets 6'!C11, 0) / SUMIF('regrets 6'!$B11:$F11, "&gt;0"), 1 / COUNT('regrets 6'!$B11:$F11))</f>
        <v>0.33333333333333331</v>
      </c>
      <c r="D11" s="61">
        <f>IF(SUMIF('regrets 6'!$B11:$F11, "&gt;0") &gt; 0, MAX('regrets 6'!D11, 0) / SUMIF('regrets 6'!$B11:$F11, "&gt;0"), 1 / COUNT('regrets 6'!$B11:$F11))</f>
        <v>0.33333333333333331</v>
      </c>
      <c r="E11" s="62"/>
      <c r="F11" s="81"/>
      <c r="G11" s="60">
        <f>IF(SUMIF('regrets 6'!$G11:$K11, "&gt;0") &gt; 0, MAX('regrets 6'!G11, 0) / SUMIF('regrets 6'!$G11:$K11, "&gt;0"), 1 / COUNT('regrets 6'!$G11:$K11))</f>
        <v>0.7033042287279575</v>
      </c>
      <c r="H11" s="60">
        <f>IF(SUMIF('regrets 6'!$G11:$K11, "&gt;0") &gt; 0, MAX('regrets 6'!H11, 0) / SUMIF('regrets 6'!$G11:$K11, "&gt;0"), 1 / COUNT('regrets 6'!$G11:$K11))</f>
        <v>0</v>
      </c>
      <c r="I11" s="60">
        <f>IF(SUMIF('regrets 6'!$G11:$K11, "&gt;0") &gt; 0, MAX('regrets 6'!I11, 0) / SUMIF('regrets 6'!$G11:$K11, "&gt;0"), 1 / COUNT('regrets 6'!$G11:$K11))</f>
        <v>0.29669577127204244</v>
      </c>
      <c r="J11" s="62"/>
      <c r="K11" s="81"/>
      <c r="L11" s="60">
        <f>IF(SUMIF('regrets 6'!$L11:$P11, "&gt;0") &gt; 0, MAX('regrets 6'!L11, 0) / SUMIF('regrets 6'!$L11:$P11, "&gt;0"), 1 / COUNT('regrets 6'!$L11:$P11))</f>
        <v>0.33333333333333331</v>
      </c>
      <c r="M11" s="60">
        <f>IF(SUMIF('regrets 6'!$L11:$P11, "&gt;0") &gt; 0, MAX('regrets 6'!M11, 0) / SUMIF('regrets 6'!$L11:$P11, "&gt;0"), 1 / COUNT('regrets 6'!$L11:$P11))</f>
        <v>0.33333333333333331</v>
      </c>
      <c r="N11" s="60">
        <f>IF(SUMIF('regrets 6'!$L11:$P11, "&gt;0") &gt; 0, MAX('regrets 6'!N11, 0) / SUMIF('regrets 6'!$L11:$P11, "&gt;0"), 1 / COUNT('regrets 6'!$L11:$P11))</f>
        <v>0.33333333333333331</v>
      </c>
      <c r="O11" s="62"/>
      <c r="P11" s="81"/>
      <c r="Q11" s="60">
        <f>IF(SUMIF('regrets 6'!$Q11:$U11, "&gt;0") &gt; 0, MAX('regrets 6'!Q11, 0) / SUMIF('regrets 6'!$Q11:$U11, "&gt;0"), 1 / COUNT('regrets 6'!$Q11:$U11))</f>
        <v>0.33333333333333331</v>
      </c>
      <c r="R11" s="60">
        <f>IF(SUMIF('regrets 6'!$Q11:$U11, "&gt;0") &gt; 0, MAX('regrets 6'!R11, 0) / SUMIF('regrets 6'!$Q11:$U11, "&gt;0"), 1 / COUNT('regrets 6'!$Q11:$U11))</f>
        <v>0.33333333333333331</v>
      </c>
      <c r="S11" s="60">
        <f>IF(SUMIF('regrets 6'!$Q11:$U11, "&gt;0") &gt; 0, MAX('regrets 6'!S11, 0) / SUMIF('regrets 6'!$Q11:$U11, "&gt;0"), 1 / COUNT('regrets 6'!$Q11:$U11))</f>
        <v>0.33333333333333331</v>
      </c>
      <c r="T11" s="62"/>
      <c r="U11" s="81"/>
    </row>
    <row r="12" spans="1:21" ht="20" customHeight="1" x14ac:dyDescent="0.15">
      <c r="A12" s="12">
        <v>9</v>
      </c>
      <c r="B12" s="60"/>
      <c r="C12" s="61">
        <f>IF(SUMIF('regrets 6'!$B12:$F12, "&gt;0") &gt; 0, MAX('regrets 6'!C12, 0) / SUMIF('regrets 6'!$B12:$F12, "&gt;0"), 1 / COUNT('regrets 6'!$B12:$F12))</f>
        <v>0.5</v>
      </c>
      <c r="D12" s="61">
        <f>IF(SUMIF('regrets 6'!$B12:$F12, "&gt;0") &gt; 0, MAX('regrets 6'!D12, 0) / SUMIF('regrets 6'!$B12:$F12, "&gt;0"), 1 / COUNT('regrets 6'!$B12:$F12))</f>
        <v>0.5</v>
      </c>
      <c r="E12" s="62"/>
      <c r="F12" s="81"/>
      <c r="G12" s="60"/>
      <c r="H12" s="60">
        <f>IF(SUMIF('regrets 6'!$G12:$K12, "&gt;0") &gt; 0, MAX('regrets 6'!H12, 0) / SUMIF('regrets 6'!$G12:$K12, "&gt;0"), 1 / COUNT('regrets 6'!$G12:$K12))</f>
        <v>0.5</v>
      </c>
      <c r="I12" s="60">
        <f>IF(SUMIF('regrets 6'!$G12:$K12, "&gt;0") &gt; 0, MAX('regrets 6'!I12, 0) / SUMIF('regrets 6'!$G12:$K12, "&gt;0"), 1 / COUNT('regrets 6'!$G12:$K12))</f>
        <v>0.5</v>
      </c>
      <c r="J12" s="62"/>
      <c r="K12" s="81"/>
      <c r="L12" s="60"/>
      <c r="M12" s="60">
        <f>IF(SUMIF('regrets 6'!$L12:$P12, "&gt;0") &gt; 0, MAX('regrets 6'!M12, 0) / SUMIF('regrets 6'!$L12:$P12, "&gt;0"), 1 / COUNT('regrets 6'!$L12:$P12))</f>
        <v>0.5</v>
      </c>
      <c r="N12" s="60">
        <f>IF(SUMIF('regrets 6'!$L12:$P12, "&gt;0") &gt; 0, MAX('regrets 6'!N12, 0) / SUMIF('regrets 6'!$L12:$P12, "&gt;0"), 1 / COUNT('regrets 6'!$L12:$P12))</f>
        <v>0.5</v>
      </c>
      <c r="O12" s="62"/>
      <c r="P12" s="81"/>
      <c r="Q12" s="60"/>
      <c r="R12" s="60">
        <f>IF(SUMIF('regrets 6'!$Q12:$U12, "&gt;0") &gt; 0, MAX('regrets 6'!R12, 0) / SUMIF('regrets 6'!$Q12:$U12, "&gt;0"), 1 / COUNT('regrets 6'!$Q12:$U12))</f>
        <v>1</v>
      </c>
      <c r="S12" s="60">
        <f>IF(SUMIF('regrets 6'!$Q12:$U12, "&gt;0") &gt; 0, MAX('regrets 6'!S12, 0) / SUMIF('regrets 6'!$Q12:$U12, "&gt;0"), 1 / COUNT('regrets 6'!$Q12:$U12))</f>
        <v>0</v>
      </c>
      <c r="T12" s="62"/>
      <c r="U12" s="81"/>
    </row>
    <row r="13" spans="1:21" ht="20" customHeight="1" x14ac:dyDescent="0.15">
      <c r="A13" s="12">
        <v>10</v>
      </c>
      <c r="B13" s="61">
        <f>IF(SUMIF('regrets 6'!$B13:$F13, "&gt;0") &gt; 0, MAX('regrets 6'!B13, 0) / SUMIF('regrets 6'!$B13:$F13, "&gt;0"), 1 / COUNT('regrets 6'!$B13:$F13))</f>
        <v>0.5</v>
      </c>
      <c r="C13" s="61">
        <f>IF(SUMIF('regrets 6'!$B13:$F13, "&gt;0") &gt; 0, MAX('regrets 6'!C13, 0) / SUMIF('regrets 6'!$B13:$F13, "&gt;0"), 1 / COUNT('regrets 6'!$B13:$F13))</f>
        <v>0.5</v>
      </c>
      <c r="D13" s="61"/>
      <c r="E13" s="62"/>
      <c r="F13" s="81"/>
      <c r="G13" s="60">
        <f>IF(SUMIF('regrets 6'!$G13:$K13, "&gt;0") &gt; 0, MAX('regrets 6'!G13, 0) / SUMIF('regrets 6'!$G13:$K13, "&gt;0"), 1 / COUNT('regrets 6'!$G13:$K13))</f>
        <v>0.5</v>
      </c>
      <c r="H13" s="60">
        <f>IF(SUMIF('regrets 6'!$G13:$K13, "&gt;0") &gt; 0, MAX('regrets 6'!H13, 0) / SUMIF('regrets 6'!$G13:$K13, "&gt;0"), 1 / COUNT('regrets 6'!$G13:$K13))</f>
        <v>0.5</v>
      </c>
      <c r="I13" s="61"/>
      <c r="J13" s="62"/>
      <c r="K13" s="81"/>
      <c r="L13" s="60">
        <f>IF(SUMIF('regrets 6'!$L13:$P13, "&gt;0") &gt; 0, MAX('regrets 6'!L13, 0) / SUMIF('regrets 6'!$L13:$P13, "&gt;0"), 1 / COUNT('regrets 6'!$L13:$P13))</f>
        <v>0.5</v>
      </c>
      <c r="M13" s="60">
        <f>IF(SUMIF('regrets 6'!$L13:$P13, "&gt;0") &gt; 0, MAX('regrets 6'!M13, 0) / SUMIF('regrets 6'!$L13:$P13, "&gt;0"), 1 / COUNT('regrets 6'!$L13:$P13))</f>
        <v>0.5</v>
      </c>
      <c r="N13" s="61"/>
      <c r="O13" s="62"/>
      <c r="P13" s="81"/>
      <c r="Q13" s="60">
        <f>IF(SUMIF('regrets 6'!$Q13:$U13, "&gt;0") &gt; 0, MAX('regrets 6'!Q13, 0) / SUMIF('regrets 6'!$Q13:$U13, "&gt;0"), 1 / COUNT('regrets 6'!$Q13:$U13))</f>
        <v>0.5</v>
      </c>
      <c r="R13" s="60">
        <f>IF(SUMIF('regrets 6'!$Q13:$U13, "&gt;0") &gt; 0, MAX('regrets 6'!R13, 0) / SUMIF('regrets 6'!$Q13:$U13, "&gt;0"), 1 / COUNT('regrets 6'!$Q13:$U13))</f>
        <v>0.5</v>
      </c>
      <c r="S13" s="61"/>
      <c r="T13" s="62"/>
      <c r="U13" s="81"/>
    </row>
    <row r="14" spans="1:21" ht="20" customHeight="1" x14ac:dyDescent="0.15">
      <c r="A14" s="12">
        <v>11</v>
      </c>
      <c r="B14" s="61">
        <f>IF(SUMIF('regrets 6'!$B14:$F14, "&gt;0") &gt; 0, MAX('regrets 6'!B14, 0) / SUMIF('regrets 6'!$B14:$F14, "&gt;0"), 1 / COUNT('regrets 6'!$B14:$F14))</f>
        <v>0.5</v>
      </c>
      <c r="C14" s="61">
        <f>IF(SUMIF('regrets 6'!$B14:$F14, "&gt;0") &gt; 0, MAX('regrets 6'!C14, 0) / SUMIF('regrets 6'!$B14:$F14, "&gt;0"), 1 / COUNT('regrets 6'!$B14:$F14))</f>
        <v>0.5</v>
      </c>
      <c r="D14" s="61"/>
      <c r="E14" s="62"/>
      <c r="F14" s="81"/>
      <c r="G14" s="60">
        <f>IF(SUMIF('regrets 6'!$G14:$K14, "&gt;0") &gt; 0, MAX('regrets 6'!G14, 0) / SUMIF('regrets 6'!$G14:$K14, "&gt;0"), 1 / COUNT('regrets 6'!$G14:$K14))</f>
        <v>0.5</v>
      </c>
      <c r="H14" s="60">
        <f>IF(SUMIF('regrets 6'!$G14:$K14, "&gt;0") &gt; 0, MAX('regrets 6'!H14, 0) / SUMIF('regrets 6'!$G14:$K14, "&gt;0"), 1 / COUNT('regrets 6'!$G14:$K14))</f>
        <v>0.5</v>
      </c>
      <c r="I14" s="61"/>
      <c r="J14" s="62"/>
      <c r="K14" s="81"/>
      <c r="L14" s="60">
        <f>IF(SUMIF('regrets 6'!$L14:$P14, "&gt;0") &gt; 0, MAX('regrets 6'!L14, 0) / SUMIF('regrets 6'!$L14:$P14, "&gt;0"), 1 / COUNT('regrets 6'!$L14:$P14))</f>
        <v>0.5</v>
      </c>
      <c r="M14" s="60">
        <f>IF(SUMIF('regrets 6'!$L14:$P14, "&gt;0") &gt; 0, MAX('regrets 6'!M14, 0) / SUMIF('regrets 6'!$L14:$P14, "&gt;0"), 1 / COUNT('regrets 6'!$L14:$P14))</f>
        <v>0.5</v>
      </c>
      <c r="N14" s="61"/>
      <c r="O14" s="62"/>
      <c r="P14" s="81"/>
      <c r="Q14" s="60">
        <f>IF(SUMIF('regrets 6'!$Q14:$U14, "&gt;0") &gt; 0, MAX('regrets 6'!Q14, 0) / SUMIF('regrets 6'!$Q14:$U14, "&gt;0"), 1 / COUNT('regrets 6'!$Q14:$U14))</f>
        <v>0.5</v>
      </c>
      <c r="R14" s="60">
        <f>IF(SUMIF('regrets 6'!$Q14:$U14, "&gt;0") &gt; 0, MAX('regrets 6'!R14, 0) / SUMIF('regrets 6'!$Q14:$U14, "&gt;0"), 1 / COUNT('regrets 6'!$Q14:$U14))</f>
        <v>0.5</v>
      </c>
      <c r="S14" s="61"/>
      <c r="T14" s="62"/>
      <c r="U14" s="81"/>
    </row>
    <row r="15" spans="1:21" ht="20" customHeight="1" x14ac:dyDescent="0.15">
      <c r="A15" s="12">
        <v>12</v>
      </c>
      <c r="B15" s="61">
        <f>IF(SUMIF('regrets 6'!$B15:$F15, "&gt;0") &gt; 0, MAX('regrets 6'!B15, 0) / SUMIF('regrets 6'!$B15:$F15, "&gt;0"), 1 / COUNT('regrets 6'!$B15:$F15))</f>
        <v>0.5</v>
      </c>
      <c r="C15" s="61">
        <f>IF(SUMIF('regrets 6'!$B15:$F15, "&gt;0") &gt; 0, MAX('regrets 6'!C15, 0) / SUMIF('regrets 6'!$B15:$F15, "&gt;0"), 1 / COUNT('regrets 6'!$B15:$F15))</f>
        <v>0.5</v>
      </c>
      <c r="D15" s="61"/>
      <c r="E15" s="62"/>
      <c r="F15" s="81"/>
      <c r="G15" s="60">
        <f>IF(SUMIF('regrets 6'!$G15:$K15, "&gt;0") &gt; 0, MAX('regrets 6'!G15, 0) / SUMIF('regrets 6'!$G15:$K15, "&gt;0"), 1 / COUNT('regrets 6'!$G15:$K15))</f>
        <v>0.5</v>
      </c>
      <c r="H15" s="60">
        <f>IF(SUMIF('regrets 6'!$G15:$K15, "&gt;0") &gt; 0, MAX('regrets 6'!H15, 0) / SUMIF('regrets 6'!$G15:$K15, "&gt;0"), 1 / COUNT('regrets 6'!$G15:$K15))</f>
        <v>0.5</v>
      </c>
      <c r="I15" s="61"/>
      <c r="J15" s="62"/>
      <c r="K15" s="81"/>
      <c r="L15" s="60">
        <f>IF(SUMIF('regrets 6'!$L15:$P15, "&gt;0") &gt; 0, MAX('regrets 6'!L15, 0) / SUMIF('regrets 6'!$L15:$P15, "&gt;0"), 1 / COUNT('regrets 6'!$L15:$P15))</f>
        <v>0.5</v>
      </c>
      <c r="M15" s="60">
        <f>IF(SUMIF('regrets 6'!$L15:$P15, "&gt;0") &gt; 0, MAX('regrets 6'!M15, 0) / SUMIF('regrets 6'!$L15:$P15, "&gt;0"), 1 / COUNT('regrets 6'!$L15:$P15))</f>
        <v>0.5</v>
      </c>
      <c r="N15" s="61"/>
      <c r="O15" s="62"/>
      <c r="P15" s="81"/>
      <c r="Q15" s="60">
        <f>IF(SUMIF('regrets 6'!$Q15:$U15, "&gt;0") &gt; 0, MAX('regrets 6'!Q15, 0) / SUMIF('regrets 6'!$Q15:$U15, "&gt;0"), 1 / COUNT('regrets 6'!$Q15:$U15))</f>
        <v>0.5</v>
      </c>
      <c r="R15" s="60">
        <f>IF(SUMIF('regrets 6'!$Q15:$U15, "&gt;0") &gt; 0, MAX('regrets 6'!R15, 0) / SUMIF('regrets 6'!$Q15:$U15, "&gt;0"), 1 / COUNT('regrets 6'!$Q15:$U15))</f>
        <v>0.5</v>
      </c>
      <c r="S15" s="61"/>
      <c r="T15" s="62"/>
      <c r="U15" s="81"/>
    </row>
    <row r="16" spans="1:21" ht="20" customHeight="1" x14ac:dyDescent="0.15">
      <c r="A16" s="12">
        <v>13</v>
      </c>
      <c r="B16" s="61">
        <f>IF(SUMIF('regrets 6'!$B16:$F16, "&gt;0") &gt; 0, MAX('regrets 6'!B16, 0) / SUMIF('regrets 6'!$B16:$F16, "&gt;0"), 1 / COUNT('regrets 6'!$B16:$F16))</f>
        <v>0.5</v>
      </c>
      <c r="C16" s="61">
        <f>IF(SUMIF('regrets 6'!$B16:$F16, "&gt;0") &gt; 0, MAX('regrets 6'!C16, 0) / SUMIF('regrets 6'!$B16:$F16, "&gt;0"), 1 / COUNT('regrets 6'!$B16:$F16))</f>
        <v>0.5</v>
      </c>
      <c r="D16" s="61"/>
      <c r="E16" s="62"/>
      <c r="F16" s="81"/>
      <c r="G16" s="60">
        <f>IF(SUMIF('regrets 6'!$G16:$K16, "&gt;0") &gt; 0, MAX('regrets 6'!G16, 0) / SUMIF('regrets 6'!$G16:$K16, "&gt;0"), 1 / COUNT('regrets 6'!$G16:$K16))</f>
        <v>0</v>
      </c>
      <c r="H16" s="60">
        <f>IF(SUMIF('regrets 6'!$G16:$K16, "&gt;0") &gt; 0, MAX('regrets 6'!H16, 0) / SUMIF('regrets 6'!$G16:$K16, "&gt;0"), 1 / COUNT('regrets 6'!$G16:$K16))</f>
        <v>1</v>
      </c>
      <c r="I16" s="61"/>
      <c r="J16" s="62"/>
      <c r="K16" s="81"/>
      <c r="L16" s="60">
        <f>IF(SUMIF('regrets 6'!$L16:$P16, "&gt;0") &gt; 0, MAX('regrets 6'!L16, 0) / SUMIF('regrets 6'!$L16:$P16, "&gt;0"), 1 / COUNT('regrets 6'!$L16:$P16))</f>
        <v>0.5</v>
      </c>
      <c r="M16" s="60">
        <f>IF(SUMIF('regrets 6'!$L16:$P16, "&gt;0") &gt; 0, MAX('regrets 6'!M16, 0) / SUMIF('regrets 6'!$L16:$P16, "&gt;0"), 1 / COUNT('regrets 6'!$L16:$P16))</f>
        <v>0.5</v>
      </c>
      <c r="N16" s="61"/>
      <c r="O16" s="62"/>
      <c r="P16" s="81"/>
      <c r="Q16" s="60">
        <f>IF(SUMIF('regrets 6'!$Q16:$U16, "&gt;0") &gt; 0, MAX('regrets 6'!Q16, 0) / SUMIF('regrets 6'!$Q16:$U16, "&gt;0"), 1 / COUNT('regrets 6'!$Q16:$U16))</f>
        <v>0.5</v>
      </c>
      <c r="R16" s="60">
        <f>IF(SUMIF('regrets 6'!$Q16:$U16, "&gt;0") &gt; 0, MAX('regrets 6'!R16, 0) / SUMIF('regrets 6'!$Q16:$U16, "&gt;0"), 1 / COUNT('regrets 6'!$Q16:$U16))</f>
        <v>0.5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f>IF(SUMIF('regrets 6'!$B17:$F17, "&gt;0") &gt; 0, MAX('regrets 6'!C17, 0) / SUMIF('regrets 6'!$B17:$F17, "&gt;0"), 1 / COUNT('regrets 6'!$B17:$F17))</f>
        <v>0.5</v>
      </c>
      <c r="D17" s="61">
        <f>IF(SUMIF('regrets 6'!$B17:$F17, "&gt;0") &gt; 0, MAX('regrets 6'!D17, 0) / SUMIF('regrets 6'!$B17:$F17, "&gt;0"), 1 / COUNT('regrets 6'!$B17:$F17))</f>
        <v>0.5</v>
      </c>
      <c r="E17" s="62"/>
      <c r="F17" s="81"/>
      <c r="G17" s="60"/>
      <c r="H17" s="60">
        <f>IF(SUMIF('regrets 6'!$G17:$K17, "&gt;0") &gt; 0, MAX('regrets 6'!H17, 0) / SUMIF('regrets 6'!$G17:$K17, "&gt;0"), 1 / COUNT('regrets 6'!$G17:$K17))</f>
        <v>0.5</v>
      </c>
      <c r="I17" s="60">
        <f>IF(SUMIF('regrets 6'!$G17:$K17, "&gt;0") &gt; 0, MAX('regrets 6'!I17, 0) / SUMIF('regrets 6'!$G17:$K17, "&gt;0"), 1 / COUNT('regrets 6'!$G17:$K17))</f>
        <v>0.5</v>
      </c>
      <c r="J17" s="62"/>
      <c r="K17" s="81"/>
      <c r="L17" s="60"/>
      <c r="M17" s="60">
        <f>IF(SUMIF('regrets 6'!$L17:$P17, "&gt;0") &gt; 0, MAX('regrets 6'!M17, 0) / SUMIF('regrets 6'!$L17:$P17, "&gt;0"), 1 / COUNT('regrets 6'!$L17:$P17))</f>
        <v>0.5</v>
      </c>
      <c r="N17" s="60">
        <f>IF(SUMIF('regrets 6'!$L17:$P17, "&gt;0") &gt; 0, MAX('regrets 6'!N17, 0) / SUMIF('regrets 6'!$L17:$P17, "&gt;0"), 1 / COUNT('regrets 6'!$L17:$P17))</f>
        <v>0.5</v>
      </c>
      <c r="O17" s="62"/>
      <c r="P17" s="81"/>
      <c r="Q17" s="60"/>
      <c r="R17" s="60">
        <f>IF(SUMIF('regrets 6'!$Q17:$U17, "&gt;0") &gt; 0, MAX('regrets 6'!R17, 0) / SUMIF('regrets 6'!$Q17:$U17, "&gt;0"), 1 / COUNT('regrets 6'!$Q17:$U17))</f>
        <v>0.5</v>
      </c>
      <c r="S17" s="60">
        <f>IF(SUMIF('regrets 6'!$Q17:$U17, "&gt;0") &gt; 0, MAX('regrets 6'!S17, 0) / SUMIF('regrets 6'!$Q17:$U17, "&gt;0"), 1 / COUNT('regrets 6'!$Q17:$U17))</f>
        <v>0.5</v>
      </c>
      <c r="T17" s="62"/>
      <c r="U17" s="81"/>
    </row>
    <row r="18" spans="1:21" ht="20" customHeight="1" x14ac:dyDescent="0.15">
      <c r="A18" s="12">
        <v>15</v>
      </c>
      <c r="B18" s="61">
        <f>IF(SUMIF('regrets 6'!$B18:$F18, "&gt;0") &gt; 0, MAX('regrets 6'!B18, 0) / SUMIF('regrets 6'!$B18:$F18, "&gt;0"), 1 / COUNT('regrets 6'!$B18:$F18))</f>
        <v>0.5</v>
      </c>
      <c r="C18" s="61">
        <f>IF(SUMIF('regrets 6'!$B18:$F18, "&gt;0") &gt; 0, MAX('regrets 6'!C18, 0) / SUMIF('regrets 6'!$B18:$F18, "&gt;0"), 1 / COUNT('regrets 6'!$B18:$F18))</f>
        <v>0.5</v>
      </c>
      <c r="D18" s="61"/>
      <c r="E18" s="62"/>
      <c r="F18" s="81"/>
      <c r="G18" s="60">
        <f>IF(SUMIF('regrets 6'!$G18:$K18, "&gt;0") &gt; 0, MAX('regrets 6'!G18, 0) / SUMIF('regrets 6'!$G18:$K18, "&gt;0"), 1 / COUNT('regrets 6'!$G18:$K18))</f>
        <v>0.5</v>
      </c>
      <c r="H18" s="60">
        <f>IF(SUMIF('regrets 6'!$G18:$K18, "&gt;0") &gt; 0, MAX('regrets 6'!H18, 0) / SUMIF('regrets 6'!$G18:$K18, "&gt;0"), 1 / COUNT('regrets 6'!$G18:$K18))</f>
        <v>0.5</v>
      </c>
      <c r="I18" s="61"/>
      <c r="J18" s="62"/>
      <c r="K18" s="81"/>
      <c r="L18" s="60">
        <f>IF(SUMIF('regrets 6'!$L18:$P18, "&gt;0") &gt; 0, MAX('regrets 6'!L18, 0) / SUMIF('regrets 6'!$L18:$P18, "&gt;0"), 1 / COUNT('regrets 6'!$L18:$P18))</f>
        <v>0.5</v>
      </c>
      <c r="M18" s="60">
        <f>IF(SUMIF('regrets 6'!$L18:$P18, "&gt;0") &gt; 0, MAX('regrets 6'!M18, 0) / SUMIF('regrets 6'!$L18:$P18, "&gt;0"), 1 / COUNT('regrets 6'!$L18:$P18))</f>
        <v>0.5</v>
      </c>
      <c r="N18" s="61"/>
      <c r="O18" s="62"/>
      <c r="P18" s="81"/>
      <c r="Q18" s="60">
        <f>IF(SUMIF('regrets 6'!$Q18:$U18, "&gt;0") &gt; 0, MAX('regrets 6'!Q18, 0) / SUMIF('regrets 6'!$Q18:$U18, "&gt;0"), 1 / COUNT('regrets 6'!$Q18:$U18))</f>
        <v>0.5</v>
      </c>
      <c r="R18" s="60">
        <f>IF(SUMIF('regrets 6'!$Q18:$U18, "&gt;0") &gt; 0, MAX('regrets 6'!R18, 0) / SUMIF('regrets 6'!$Q18:$U18, "&gt;0"), 1 / COUNT('regrets 6'!$Q18:$U18))</f>
        <v>0.5</v>
      </c>
      <c r="S18" s="61"/>
      <c r="T18" s="62"/>
      <c r="U18" s="81"/>
    </row>
    <row r="19" spans="1:21" ht="20" customHeight="1" x14ac:dyDescent="0.15">
      <c r="A19" s="12">
        <v>16</v>
      </c>
      <c r="B19" s="61">
        <f>IF(SUMIF('regrets 6'!$B19:$F19, "&gt;0") &gt; 0, MAX('regrets 6'!B19, 0) / SUMIF('regrets 6'!$B19:$F19, "&gt;0"), 1 / COUNT('regrets 6'!$B19:$F19))</f>
        <v>0.5</v>
      </c>
      <c r="C19" s="61">
        <f>IF(SUMIF('regrets 6'!$B19:$F19, "&gt;0") &gt; 0, MAX('regrets 6'!C19, 0) / SUMIF('regrets 6'!$B19:$F19, "&gt;0"), 1 / COUNT('regrets 6'!$B19:$F19))</f>
        <v>0.5</v>
      </c>
      <c r="D19" s="61"/>
      <c r="E19" s="62"/>
      <c r="F19" s="81"/>
      <c r="G19" s="60">
        <f>IF(SUMIF('regrets 6'!$G19:$K19, "&gt;0") &gt; 0, MAX('regrets 6'!G19, 0) / SUMIF('regrets 6'!$G19:$K19, "&gt;0"), 1 / COUNT('regrets 6'!$G19:$K19))</f>
        <v>0.5</v>
      </c>
      <c r="H19" s="60">
        <f>IF(SUMIF('regrets 6'!$G19:$K19, "&gt;0") &gt; 0, MAX('regrets 6'!H19, 0) / SUMIF('regrets 6'!$G19:$K19, "&gt;0"), 1 / COUNT('regrets 6'!$G19:$K19))</f>
        <v>0.5</v>
      </c>
      <c r="I19" s="61"/>
      <c r="J19" s="62"/>
      <c r="K19" s="81"/>
      <c r="L19" s="60">
        <f>IF(SUMIF('regrets 6'!$L19:$P19, "&gt;0") &gt; 0, MAX('regrets 6'!L19, 0) / SUMIF('regrets 6'!$L19:$P19, "&gt;0"), 1 / COUNT('regrets 6'!$L19:$P19))</f>
        <v>0.5</v>
      </c>
      <c r="M19" s="60">
        <f>IF(SUMIF('regrets 6'!$L19:$P19, "&gt;0") &gt; 0, MAX('regrets 6'!M19, 0) / SUMIF('regrets 6'!$L19:$P19, "&gt;0"), 1 / COUNT('regrets 6'!$L19:$P19))</f>
        <v>0.5</v>
      </c>
      <c r="N19" s="61"/>
      <c r="O19" s="62"/>
      <c r="P19" s="81"/>
      <c r="Q19" s="60">
        <f>IF(SUMIF('regrets 6'!$Q19:$U19, "&gt;0") &gt; 0, MAX('regrets 6'!Q19, 0) / SUMIF('regrets 6'!$Q19:$U19, "&gt;0"), 1 / COUNT('regrets 6'!$Q19:$U19))</f>
        <v>0.5</v>
      </c>
      <c r="R19" s="60">
        <f>IF(SUMIF('regrets 6'!$Q19:$U19, "&gt;0") &gt; 0, MAX('regrets 6'!R19, 0) / SUMIF('regrets 6'!$Q19:$U19, "&gt;0"), 1 / COUNT('regrets 6'!$Q19:$U19))</f>
        <v>0.5</v>
      </c>
      <c r="S19" s="61"/>
      <c r="T19" s="62"/>
      <c r="U19" s="81"/>
    </row>
    <row r="20" spans="1:21" ht="20.75" customHeight="1" thickBot="1" x14ac:dyDescent="0.2">
      <c r="A20" s="17">
        <v>17</v>
      </c>
      <c r="B20" s="61">
        <f>IF(SUMIF('regrets 6'!$B20:$F20, "&gt;0") &gt; 0, MAX('regrets 6'!B20, 0) / SUMIF('regrets 6'!$B20:$F20, "&gt;0"), 1 / COUNT('regrets 6'!$B20:$F20))</f>
        <v>0.5</v>
      </c>
      <c r="C20" s="61">
        <f>IF(SUMIF('regrets 6'!$B20:$F20, "&gt;0") &gt; 0, MAX('regrets 6'!C20, 0) / SUMIF('regrets 6'!$B20:$F20, "&gt;0"), 1 / COUNT('regrets 6'!$B20:$F20))</f>
        <v>0.5</v>
      </c>
      <c r="D20" s="83"/>
      <c r="E20" s="75"/>
      <c r="F20" s="84"/>
      <c r="G20" s="60">
        <f>IF(SUMIF('regrets 6'!$G20:$K20, "&gt;0") &gt; 0, MAX('regrets 6'!G20, 0) / SUMIF('regrets 6'!$G20:$K20, "&gt;0"), 1 / COUNT('regrets 6'!$G20:$K20))</f>
        <v>0.5</v>
      </c>
      <c r="H20" s="60">
        <f>IF(SUMIF('regrets 6'!$G20:$K20, "&gt;0") &gt; 0, MAX('regrets 6'!H20, 0) / SUMIF('regrets 6'!$G20:$K20, "&gt;0"), 1 / COUNT('regrets 6'!$G20:$K20))</f>
        <v>0.5</v>
      </c>
      <c r="I20" s="83"/>
      <c r="J20" s="75"/>
      <c r="K20" s="84"/>
      <c r="L20" s="60">
        <f>IF(SUMIF('regrets 6'!$L20:$P20, "&gt;0") &gt; 0, MAX('regrets 6'!L20, 0) / SUMIF('regrets 6'!$L20:$P20, "&gt;0"), 1 / COUNT('regrets 6'!$L20:$P20))</f>
        <v>0.5</v>
      </c>
      <c r="M20" s="60">
        <f>IF(SUMIF('regrets 6'!$L20:$P20, "&gt;0") &gt; 0, MAX('regrets 6'!M20, 0) / SUMIF('regrets 6'!$L20:$P20, "&gt;0"), 1 / COUNT('regrets 6'!$L20:$P20))</f>
        <v>0.5</v>
      </c>
      <c r="N20" s="83"/>
      <c r="O20" s="75"/>
      <c r="P20" s="84"/>
      <c r="Q20" s="60">
        <f>IF(SUMIF('regrets 6'!$Q20:$U20, "&gt;0") &gt; 0, MAX('regrets 6'!Q20, 0) / SUMIF('regrets 6'!$Q20:$U20, "&gt;0"), 1 / COUNT('regrets 6'!$Q20:$U20))</f>
        <v>0.5</v>
      </c>
      <c r="R20" s="60">
        <f>IF(SUMIF('regrets 6'!$Q20:$U20, "&gt;0") &gt; 0, MAX('regrets 6'!R20, 0) / SUMIF('regrets 6'!$Q20:$U20, "&gt;0"), 1 / COUNT('regrets 6'!$Q20:$U20))</f>
        <v>0.5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f>IF(SUMIF('regrets 6'!$B21:$F21, "&gt;0") &gt; 0, MAX('regrets 6'!C21, 0) / SUMIF('regrets 6'!$B21:$F21, "&gt;0"), 1 / COUNT('regrets 6'!$B21:$F21))</f>
        <v>0.5</v>
      </c>
      <c r="D21" s="68">
        <f>IF(SUMIF('regrets 6'!$B21:$F21, "&gt;0") &gt; 0, MAX('regrets 6'!D21, 0) / SUMIF('regrets 6'!$B21:$F21, "&gt;0"), 1 / COUNT('regrets 6'!$B21:$F21))</f>
        <v>0.5</v>
      </c>
      <c r="E21" s="67"/>
      <c r="F21" s="86"/>
      <c r="G21" s="87"/>
      <c r="H21" s="68">
        <f>IF(SUMIF('regrets 6'!$G21:$K21, "&gt;0") &gt; 0, MAX('regrets 6'!H21, 0) / SUMIF('regrets 6'!$G21:$K21, "&gt;0"), 1 / COUNT('regrets 6'!$G21:$K21))</f>
        <v>0</v>
      </c>
      <c r="I21" s="68">
        <f>IF(SUMIF('regrets 6'!$G21:$K21, "&gt;0") &gt; 0, MAX('regrets 6'!I21, 0) / SUMIF('regrets 6'!$G21:$K21, "&gt;0"), 1 / COUNT('regrets 6'!$G21:$K21))</f>
        <v>1</v>
      </c>
      <c r="J21" s="67"/>
      <c r="K21" s="86"/>
      <c r="L21" s="88"/>
      <c r="M21" s="67">
        <f>IF(SUMIF('regrets 6'!$L21:$P21, "&gt;0") &gt; 0, MAX('regrets 6'!M21, 0) / SUMIF('regrets 6'!$L21:$P21, "&gt;0"), 1 / COUNT('regrets 6'!$L21:$P21))</f>
        <v>0.5</v>
      </c>
      <c r="N21" s="67">
        <f>IF(SUMIF('regrets 6'!$L21:$P21, "&gt;0") &gt; 0, MAX('regrets 6'!N21, 0) / SUMIF('regrets 6'!$L21:$P21, "&gt;0"), 1 / COUNT('regrets 6'!$L21:$P21))</f>
        <v>0.5</v>
      </c>
      <c r="O21" s="67"/>
      <c r="P21" s="89"/>
      <c r="Q21" s="87"/>
      <c r="R21" s="68">
        <f>IF(SUMIF('regrets 6'!$Q21:$U21, "&gt;0") &gt; 0, MAX('regrets 6'!R21, 0) / SUMIF('regrets 6'!$Q21:$U21, "&gt;0"), 1 / COUNT('regrets 6'!$Q21:$U21))</f>
        <v>0.5</v>
      </c>
      <c r="S21" s="68">
        <f>IF(SUMIF('regrets 6'!$Q21:$U21, "&gt;0") &gt; 0, MAX('regrets 6'!S21, 0) / SUMIF('regrets 6'!$Q21:$U21, "&gt;0"), 1 / COUNT('regrets 6'!$Q21:$U21))</f>
        <v>0.5</v>
      </c>
      <c r="T21" s="67"/>
      <c r="U21" s="86"/>
    </row>
    <row r="22" spans="1:21" ht="20" customHeight="1" x14ac:dyDescent="0.15">
      <c r="A22" s="12">
        <v>1</v>
      </c>
      <c r="B22" s="61">
        <f>IF(SUMIF('regrets 6'!$B22:$F22, "&gt;0") &gt; 0, MAX('regrets 6'!B22, 0) / SUMIF('regrets 6'!$B22:$F22, "&gt;0"), 1 / COUNT('regrets 6'!$B22:$F22))</f>
        <v>0.5</v>
      </c>
      <c r="C22" s="61">
        <f>IF(SUMIF('regrets 6'!$B22:$F22, "&gt;0") &gt; 0, MAX('regrets 6'!C22, 0) / SUMIF('regrets 6'!$B22:$F22, "&gt;0"), 1 / COUNT('regrets 6'!$B22:$F22))</f>
        <v>0.5</v>
      </c>
      <c r="D22" s="61"/>
      <c r="E22" s="62"/>
      <c r="F22" s="90"/>
      <c r="G22" s="60">
        <f>IF(SUMIF('regrets 6'!$G22:$K22, "&gt;0") &gt; 0, MAX('regrets 6'!G22, 0) / SUMIF('regrets 6'!$G22:$K22, "&gt;0"), 1 / COUNT('regrets 6'!$G22:$K22))</f>
        <v>0.5</v>
      </c>
      <c r="H22" s="60">
        <f>IF(SUMIF('regrets 6'!$G22:$K22, "&gt;0") &gt; 0, MAX('regrets 6'!H22, 0) / SUMIF('regrets 6'!$G22:$K22, "&gt;0"), 1 / COUNT('regrets 6'!$G22:$K22))</f>
        <v>0.5</v>
      </c>
      <c r="I22" s="61"/>
      <c r="J22" s="62"/>
      <c r="K22" s="90"/>
      <c r="L22" s="60">
        <f>IF(SUMIF('regrets 6'!$L22:$P22, "&gt;0") &gt; 0, MAX('regrets 6'!L22, 0) / SUMIF('regrets 6'!$L22:$P22, "&gt;0"), 1 / COUNT('regrets 6'!$L22:$P22))</f>
        <v>0.5</v>
      </c>
      <c r="M22" s="60">
        <f>IF(SUMIF('regrets 6'!$L22:$P22, "&gt;0") &gt; 0, MAX('regrets 6'!M22, 0) / SUMIF('regrets 6'!$L22:$P22, "&gt;0"), 1 / COUNT('regrets 6'!$L22:$P22))</f>
        <v>0.5</v>
      </c>
      <c r="N22" s="62"/>
      <c r="O22" s="62"/>
      <c r="P22" s="81"/>
      <c r="Q22" s="60">
        <f>IF(SUMIF('regrets 6'!$Q22:$U22, "&gt;0") &gt; 0, MAX('regrets 6'!Q22, 0) / SUMIF('regrets 6'!$Q22:$U22, "&gt;0"), 1 / COUNT('regrets 6'!$Q22:$U22))</f>
        <v>0.5</v>
      </c>
      <c r="R22" s="60">
        <f>IF(SUMIF('regrets 6'!$Q22:$U22, "&gt;0") &gt; 0, MAX('regrets 6'!R22, 0) / SUMIF('regrets 6'!$Q22:$U22, "&gt;0"), 1 / COUNT('regrets 6'!$Q22:$U22))</f>
        <v>0.5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f>IF(SUMIF('regrets 6'!$B23:$F23, "&gt;0") &gt; 0, MAX('regrets 6'!C23, 0) / SUMIF('regrets 6'!$B23:$F23, "&gt;0"), 1 / COUNT('regrets 6'!$B23:$F23))</f>
        <v>0.5</v>
      </c>
      <c r="D23" s="61">
        <f>IF(SUMIF('regrets 6'!$B23:$F23, "&gt;0") &gt; 0, MAX('regrets 6'!D23, 0) / SUMIF('regrets 6'!$B23:$F23, "&gt;0"), 1 / COUNT('regrets 6'!$B23:$F23))</f>
        <v>0.5</v>
      </c>
      <c r="E23" s="62"/>
      <c r="F23" s="90"/>
      <c r="G23" s="60"/>
      <c r="H23" s="60">
        <f>IF(SUMIF('regrets 6'!$G23:$K23, "&gt;0") &gt; 0, MAX('regrets 6'!H23, 0) / SUMIF('regrets 6'!$G23:$K23, "&gt;0"), 1 / COUNT('regrets 6'!$G23:$K23))</f>
        <v>0.5</v>
      </c>
      <c r="I23" s="60">
        <f>IF(SUMIF('regrets 6'!$G23:$K23, "&gt;0") &gt; 0, MAX('regrets 6'!I23, 0) / SUMIF('regrets 6'!$G23:$K23, "&gt;0"), 1 / COUNT('regrets 6'!$G23:$K23))</f>
        <v>0.5</v>
      </c>
      <c r="J23" s="62"/>
      <c r="K23" s="90"/>
      <c r="L23" s="66"/>
      <c r="M23" s="60">
        <f>IF(SUMIF('regrets 6'!$L23:$P23, "&gt;0") &gt; 0, MAX('regrets 6'!M23, 0) / SUMIF('regrets 6'!$L23:$P23, "&gt;0"), 1 / COUNT('regrets 6'!$L23:$P23))</f>
        <v>0.5</v>
      </c>
      <c r="N23" s="60">
        <f>IF(SUMIF('regrets 6'!$L23:$P23, "&gt;0") &gt; 0, MAX('regrets 6'!N23, 0) / SUMIF('regrets 6'!$L23:$P23, "&gt;0"), 1 / COUNT('regrets 6'!$L23:$P23))</f>
        <v>0.5</v>
      </c>
      <c r="O23" s="62"/>
      <c r="P23" s="81"/>
      <c r="Q23" s="60"/>
      <c r="R23" s="60">
        <f>IF(SUMIF('regrets 6'!$Q23:$U23, "&gt;0") &gt; 0, MAX('regrets 6'!R23, 0) / SUMIF('regrets 6'!$Q23:$U23, "&gt;0"), 1 / COUNT('regrets 6'!$Q23:$U23))</f>
        <v>0.5</v>
      </c>
      <c r="S23" s="60">
        <f>IF(SUMIF('regrets 6'!$Q23:$U23, "&gt;0") &gt; 0, MAX('regrets 6'!S23, 0) / SUMIF('regrets 6'!$Q23:$U23, "&gt;0"), 1 / COUNT('regrets 6'!$Q23:$U23))</f>
        <v>0.5</v>
      </c>
      <c r="T23" s="62"/>
      <c r="U23" s="90"/>
    </row>
    <row r="24" spans="1:21" ht="20" customHeight="1" x14ac:dyDescent="0.15">
      <c r="A24" s="12">
        <v>3</v>
      </c>
      <c r="B24" s="61">
        <f>IF(SUMIF('regrets 6'!$B24:$F24, "&gt;0") &gt; 0, MAX('regrets 6'!B24, 0) / SUMIF('regrets 6'!$B24:$F24, "&gt;0"), 1 / COUNT('regrets 6'!$B24:$F24))</f>
        <v>0.5</v>
      </c>
      <c r="C24" s="61">
        <f>IF(SUMIF('regrets 6'!$B24:$F24, "&gt;0") &gt; 0, MAX('regrets 6'!C24, 0) / SUMIF('regrets 6'!$B24:$F24, "&gt;0"), 1 / COUNT('regrets 6'!$B24:$F24))</f>
        <v>0.5</v>
      </c>
      <c r="D24" s="61"/>
      <c r="E24" s="62"/>
      <c r="F24" s="90"/>
      <c r="G24" s="60">
        <f>IF(SUMIF('regrets 6'!$G24:$K24, "&gt;0") &gt; 0, MAX('regrets 6'!G24, 0) / SUMIF('regrets 6'!$G24:$K24, "&gt;0"), 1 / COUNT('regrets 6'!$G24:$K24))</f>
        <v>0</v>
      </c>
      <c r="H24" s="60">
        <f>IF(SUMIF('regrets 6'!$G24:$K24, "&gt;0") &gt; 0, MAX('regrets 6'!H24, 0) / SUMIF('regrets 6'!$G24:$K24, "&gt;0"), 1 / COUNT('regrets 6'!$G24:$K24))</f>
        <v>1</v>
      </c>
      <c r="I24" s="61"/>
      <c r="J24" s="62"/>
      <c r="K24" s="90"/>
      <c r="L24" s="60">
        <f>IF(SUMIF('regrets 6'!$L24:$P24, "&gt;0") &gt; 0, MAX('regrets 6'!L24, 0) / SUMIF('regrets 6'!$L24:$P24, "&gt;0"), 1 / COUNT('regrets 6'!$L24:$P24))</f>
        <v>0.5</v>
      </c>
      <c r="M24" s="60">
        <f>IF(SUMIF('regrets 6'!$L24:$P24, "&gt;0") &gt; 0, MAX('regrets 6'!M24, 0) / SUMIF('regrets 6'!$L24:$P24, "&gt;0"), 1 / COUNT('regrets 6'!$L24:$P24))</f>
        <v>0.5</v>
      </c>
      <c r="N24" s="62"/>
      <c r="O24" s="62"/>
      <c r="P24" s="81"/>
      <c r="Q24" s="60">
        <f>IF(SUMIF('regrets 6'!$Q24:$U24, "&gt;0") &gt; 0, MAX('regrets 6'!Q24, 0) / SUMIF('regrets 6'!$Q24:$U24, "&gt;0"), 1 / COUNT('regrets 6'!$Q24:$U24))</f>
        <v>0.5</v>
      </c>
      <c r="R24" s="60">
        <f>IF(SUMIF('regrets 6'!$Q24:$U24, "&gt;0") &gt; 0, MAX('regrets 6'!R24, 0) / SUMIF('regrets 6'!$Q24:$U24, "&gt;0"), 1 / COUNT('regrets 6'!$Q24:$U24))</f>
        <v>0.5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f>IF(SUMIF('regrets 6'!$B25:$F25, "&gt;0") &gt; 0, MAX('regrets 6'!C25, 0) / SUMIF('regrets 6'!$B25:$F25, "&gt;0"), 1 / COUNT('regrets 6'!$B25:$F25))</f>
        <v>0.5</v>
      </c>
      <c r="D25" s="61">
        <f>IF(SUMIF('regrets 6'!$B25:$F25, "&gt;0") &gt; 0, MAX('regrets 6'!D25, 0) / SUMIF('regrets 6'!$B25:$F25, "&gt;0"), 1 / COUNT('regrets 6'!$B25:$F25))</f>
        <v>0.5</v>
      </c>
      <c r="E25" s="62"/>
      <c r="F25" s="90"/>
      <c r="G25" s="60"/>
      <c r="H25" s="60">
        <f>IF(SUMIF('regrets 6'!$G25:$K25, "&gt;0") &gt; 0, MAX('regrets 6'!H25, 0) / SUMIF('regrets 6'!$G25:$K25, "&gt;0"), 1 / COUNT('regrets 6'!$G25:$K25))</f>
        <v>1</v>
      </c>
      <c r="I25" s="60">
        <f>IF(SUMIF('regrets 6'!$G25:$K25, "&gt;0") &gt; 0, MAX('regrets 6'!I25, 0) / SUMIF('regrets 6'!$G25:$K25, "&gt;0"), 1 / COUNT('regrets 6'!$G25:$K25))</f>
        <v>0</v>
      </c>
      <c r="J25" s="62"/>
      <c r="K25" s="90"/>
      <c r="L25" s="66"/>
      <c r="M25" s="60">
        <f>IF(SUMIF('regrets 6'!$L25:$P25, "&gt;0") &gt; 0, MAX('regrets 6'!M25, 0) / SUMIF('regrets 6'!$L25:$P25, "&gt;0"), 1 / COUNT('regrets 6'!$L25:$P25))</f>
        <v>0.5</v>
      </c>
      <c r="N25" s="60">
        <f>IF(SUMIF('regrets 6'!$L25:$P25, "&gt;0") &gt; 0, MAX('regrets 6'!N25, 0) / SUMIF('regrets 6'!$L25:$P25, "&gt;0"), 1 / COUNT('regrets 6'!$L25:$P25))</f>
        <v>0.5</v>
      </c>
      <c r="O25" s="62"/>
      <c r="P25" s="81"/>
      <c r="Q25" s="60"/>
      <c r="R25" s="60">
        <f>IF(SUMIF('regrets 6'!$Q25:$U25, "&gt;0") &gt; 0, MAX('regrets 6'!R25, 0) / SUMIF('regrets 6'!$Q25:$U25, "&gt;0"), 1 / COUNT('regrets 6'!$Q25:$U25))</f>
        <v>0.5</v>
      </c>
      <c r="S25" s="60">
        <f>IF(SUMIF('regrets 6'!$Q25:$U25, "&gt;0") &gt; 0, MAX('regrets 6'!S25, 0) / SUMIF('regrets 6'!$Q25:$U25, "&gt;0"), 1 / COUNT('regrets 6'!$Q25:$U25))</f>
        <v>0.5</v>
      </c>
      <c r="T25" s="62"/>
      <c r="U25" s="90"/>
    </row>
    <row r="26" spans="1:21" ht="20" customHeight="1" x14ac:dyDescent="0.15">
      <c r="A26" s="12">
        <v>5</v>
      </c>
      <c r="B26" s="61">
        <f>IF(SUMIF('regrets 6'!$B26:$F26, "&gt;0") &gt; 0, MAX('regrets 6'!B26, 0) / SUMIF('regrets 6'!$B26:$F26, "&gt;0"), 1 / COUNT('regrets 6'!$B26:$F26))</f>
        <v>0.5</v>
      </c>
      <c r="C26" s="61">
        <f>IF(SUMIF('regrets 6'!$B26:$F26, "&gt;0") &gt; 0, MAX('regrets 6'!C26, 0) / SUMIF('regrets 6'!$B26:$F26, "&gt;0"), 1 / COUNT('regrets 6'!$B26:$F26))</f>
        <v>0.5</v>
      </c>
      <c r="D26" s="61"/>
      <c r="E26" s="62"/>
      <c r="F26" s="90"/>
      <c r="G26" s="60">
        <f>IF(SUMIF('regrets 6'!$G26:$K26, "&gt;0") &gt; 0, MAX('regrets 6'!G26, 0) / SUMIF('regrets 6'!$G26:$K26, "&gt;0"), 1 / COUNT('regrets 6'!$G26:$K26))</f>
        <v>1</v>
      </c>
      <c r="H26" s="60">
        <f>IF(SUMIF('regrets 6'!$G26:$K26, "&gt;0") &gt; 0, MAX('regrets 6'!H26, 0) / SUMIF('regrets 6'!$G26:$K26, "&gt;0"), 1 / COUNT('regrets 6'!$G26:$K26))</f>
        <v>0</v>
      </c>
      <c r="I26" s="61"/>
      <c r="J26" s="62"/>
      <c r="K26" s="90"/>
      <c r="L26" s="60">
        <f>IF(SUMIF('regrets 6'!$L26:$P26, "&gt;0") &gt; 0, MAX('regrets 6'!L26, 0) / SUMIF('regrets 6'!$L26:$P26, "&gt;0"), 1 / COUNT('regrets 6'!$L26:$P26))</f>
        <v>1</v>
      </c>
      <c r="M26" s="60">
        <f>IF(SUMIF('regrets 6'!$L26:$P26, "&gt;0") &gt; 0, MAX('regrets 6'!M26, 0) / SUMIF('regrets 6'!$L26:$P26, "&gt;0"), 1 / COUNT('regrets 6'!$L26:$P26))</f>
        <v>0</v>
      </c>
      <c r="N26" s="62"/>
      <c r="O26" s="62"/>
      <c r="P26" s="81"/>
      <c r="Q26" s="60">
        <f>IF(SUMIF('regrets 6'!$Q26:$U26, "&gt;0") &gt; 0, MAX('regrets 6'!Q26, 0) / SUMIF('regrets 6'!$Q26:$U26, "&gt;0"), 1 / COUNT('regrets 6'!$Q26:$U26))</f>
        <v>0.5</v>
      </c>
      <c r="R26" s="60">
        <f>IF(SUMIF('regrets 6'!$Q26:$U26, "&gt;0") &gt; 0, MAX('regrets 6'!R26, 0) / SUMIF('regrets 6'!$Q26:$U26, "&gt;0"), 1 / COUNT('regrets 6'!$Q26:$U26))</f>
        <v>0.5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>
        <f>IF(SUMIF('regrets 6'!$B27:$F27, "&gt;0") &gt; 0, MAX('regrets 6'!C27, 0) / SUMIF('regrets 6'!$B27:$F27, "&gt;0"), 1 / COUNT('regrets 6'!$B27:$F27))</f>
        <v>0</v>
      </c>
      <c r="D27" s="61">
        <f>IF(SUMIF('regrets 6'!$B27:$F27, "&gt;0") &gt; 0, MAX('regrets 6'!D27, 0) / SUMIF('regrets 6'!$B27:$F27, "&gt;0"), 1 / COUNT('regrets 6'!$B27:$F27))</f>
        <v>1</v>
      </c>
      <c r="E27" s="62"/>
      <c r="F27" s="90"/>
      <c r="G27" s="60"/>
      <c r="H27" s="60">
        <f>IF(SUMIF('regrets 6'!$G27:$K27, "&gt;0") &gt; 0, MAX('regrets 6'!H27, 0) / SUMIF('regrets 6'!$G27:$K27, "&gt;0"), 1 / COUNT('regrets 6'!$G27:$K27))</f>
        <v>0.5</v>
      </c>
      <c r="I27" s="60">
        <f>IF(SUMIF('regrets 6'!$G27:$K27, "&gt;0") &gt; 0, MAX('regrets 6'!I27, 0) / SUMIF('regrets 6'!$G27:$K27, "&gt;0"), 1 / COUNT('regrets 6'!$G27:$K27))</f>
        <v>0.5</v>
      </c>
      <c r="J27" s="62"/>
      <c r="K27" s="90"/>
      <c r="L27" s="66"/>
      <c r="M27" s="60">
        <f>IF(SUMIF('regrets 6'!$L27:$P27, "&gt;0") &gt; 0, MAX('regrets 6'!M27, 0) / SUMIF('regrets 6'!$L27:$P27, "&gt;0"), 1 / COUNT('regrets 6'!$L27:$P27))</f>
        <v>0.5</v>
      </c>
      <c r="N27" s="60">
        <f>IF(SUMIF('regrets 6'!$L27:$P27, "&gt;0") &gt; 0, MAX('regrets 6'!N27, 0) / SUMIF('regrets 6'!$L27:$P27, "&gt;0"), 1 / COUNT('regrets 6'!$L27:$P27))</f>
        <v>0.5</v>
      </c>
      <c r="O27" s="62"/>
      <c r="P27" s="81"/>
      <c r="Q27" s="60"/>
      <c r="R27" s="60">
        <f>IF(SUMIF('regrets 6'!$Q27:$U27, "&gt;0") &gt; 0, MAX('regrets 6'!R27, 0) / SUMIF('regrets 6'!$Q27:$U27, "&gt;0"), 1 / COUNT('regrets 6'!$Q27:$U27))</f>
        <v>0.5</v>
      </c>
      <c r="S27" s="60">
        <f>IF(SUMIF('regrets 6'!$Q27:$U27, "&gt;0") &gt; 0, MAX('regrets 6'!S27, 0) / SUMIF('regrets 6'!$Q27:$U27, "&gt;0"), 1 / COUNT('regrets 6'!$Q27:$U27))</f>
        <v>0.5</v>
      </c>
      <c r="T27" s="62"/>
      <c r="U27" s="90"/>
    </row>
    <row r="28" spans="1:21" ht="20" customHeight="1" x14ac:dyDescent="0.15">
      <c r="A28" s="12">
        <v>7</v>
      </c>
      <c r="B28" s="61">
        <f>IF(SUMIF('regrets 6'!$B28:$F28, "&gt;0") &gt; 0, MAX('regrets 6'!B28, 0) / SUMIF('regrets 6'!$B28:$F28, "&gt;0"), 1 / COUNT('regrets 6'!$B28:$F28))</f>
        <v>0.5</v>
      </c>
      <c r="C28" s="61">
        <f>IF(SUMIF('regrets 6'!$B28:$F28, "&gt;0") &gt; 0, MAX('regrets 6'!C28, 0) / SUMIF('regrets 6'!$B28:$F28, "&gt;0"), 1 / COUNT('regrets 6'!$B28:$F28))</f>
        <v>0.5</v>
      </c>
      <c r="D28" s="61"/>
      <c r="E28" s="62"/>
      <c r="F28" s="90"/>
      <c r="G28" s="60">
        <f>IF(SUMIF('regrets 6'!$G28:$K28, "&gt;0") &gt; 0, MAX('regrets 6'!G28, 0) / SUMIF('regrets 6'!$G28:$K28, "&gt;0"), 1 / COUNT('regrets 6'!$G28:$K28))</f>
        <v>0.5</v>
      </c>
      <c r="H28" s="60">
        <f>IF(SUMIF('regrets 6'!$G28:$K28, "&gt;0") &gt; 0, MAX('regrets 6'!H28, 0) / SUMIF('regrets 6'!$G28:$K28, "&gt;0"), 1 / COUNT('regrets 6'!$G28:$K28))</f>
        <v>0.5</v>
      </c>
      <c r="I28" s="61"/>
      <c r="J28" s="62"/>
      <c r="K28" s="90"/>
      <c r="L28" s="60">
        <f>IF(SUMIF('regrets 6'!$L28:$P28, "&gt;0") &gt; 0, MAX('regrets 6'!L28, 0) / SUMIF('regrets 6'!$L28:$P28, "&gt;0"), 1 / COUNT('regrets 6'!$L28:$P28))</f>
        <v>0.5</v>
      </c>
      <c r="M28" s="60">
        <f>IF(SUMIF('regrets 6'!$L28:$P28, "&gt;0") &gt; 0, MAX('regrets 6'!M28, 0) / SUMIF('regrets 6'!$L28:$P28, "&gt;0"), 1 / COUNT('regrets 6'!$L28:$P28))</f>
        <v>0.5</v>
      </c>
      <c r="N28" s="62"/>
      <c r="O28" s="62"/>
      <c r="P28" s="81"/>
      <c r="Q28" s="60">
        <f>IF(SUMIF('regrets 6'!$Q28:$U28, "&gt;0") &gt; 0, MAX('regrets 6'!Q28, 0) / SUMIF('regrets 6'!$Q28:$U28, "&gt;0"), 1 / COUNT('regrets 6'!$Q28:$U28))</f>
        <v>0.5</v>
      </c>
      <c r="R28" s="60">
        <f>IF(SUMIF('regrets 6'!$Q28:$U28, "&gt;0") &gt; 0, MAX('regrets 6'!R28, 0) / SUMIF('regrets 6'!$Q28:$U28, "&gt;0"), 1 / COUNT('regrets 6'!$Q28:$U28))</f>
        <v>0.5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f>IF(SUMIF('regrets 6'!$B29:$F29, "&gt;0") &gt; 0, MAX('regrets 6'!C29, 0) / SUMIF('regrets 6'!$B29:$F29, "&gt;0"), 1 / COUNT('regrets 6'!$B29:$F29))</f>
        <v>0.5</v>
      </c>
      <c r="D29" s="61">
        <f>IF(SUMIF('regrets 6'!$B29:$F29, "&gt;0") &gt; 0, MAX('regrets 6'!D29, 0) / SUMIF('regrets 6'!$B29:$F29, "&gt;0"), 1 / COUNT('regrets 6'!$B29:$F29))</f>
        <v>0.5</v>
      </c>
      <c r="E29" s="62"/>
      <c r="F29" s="90"/>
      <c r="G29" s="60"/>
      <c r="H29" s="60">
        <f>IF(SUMIF('regrets 6'!$G29:$K29, "&gt;0") &gt; 0, MAX('regrets 6'!H29, 0) / SUMIF('regrets 6'!$G29:$K29, "&gt;0"), 1 / COUNT('regrets 6'!$G29:$K29))</f>
        <v>0.5</v>
      </c>
      <c r="I29" s="60">
        <f>IF(SUMIF('regrets 6'!$G29:$K29, "&gt;0") &gt; 0, MAX('regrets 6'!I29, 0) / SUMIF('regrets 6'!$G29:$K29, "&gt;0"), 1 / COUNT('regrets 6'!$G29:$K29))</f>
        <v>0.5</v>
      </c>
      <c r="J29" s="62"/>
      <c r="K29" s="90"/>
      <c r="L29" s="66"/>
      <c r="M29" s="60">
        <f>IF(SUMIF('regrets 6'!$L29:$P29, "&gt;0") &gt; 0, MAX('regrets 6'!M29, 0) / SUMIF('regrets 6'!$L29:$P29, "&gt;0"), 1 / COUNT('regrets 6'!$L29:$P29))</f>
        <v>0.5</v>
      </c>
      <c r="N29" s="60">
        <f>IF(SUMIF('regrets 6'!$L29:$P29, "&gt;0") &gt; 0, MAX('regrets 6'!N29, 0) / SUMIF('regrets 6'!$L29:$P29, "&gt;0"), 1 / COUNT('regrets 6'!$L29:$P29))</f>
        <v>0.5</v>
      </c>
      <c r="O29" s="62"/>
      <c r="P29" s="81"/>
      <c r="Q29" s="60"/>
      <c r="R29" s="60">
        <f>IF(SUMIF('regrets 6'!$Q29:$U29, "&gt;0") &gt; 0, MAX('regrets 6'!R29, 0) / SUMIF('regrets 6'!$Q29:$U29, "&gt;0"), 1 / COUNT('regrets 6'!$Q29:$U29))</f>
        <v>1</v>
      </c>
      <c r="S29" s="60">
        <f>IF(SUMIF('regrets 6'!$Q29:$U29, "&gt;0") &gt; 0, MAX('regrets 6'!S29, 0) / SUMIF('regrets 6'!$Q29:$U29, "&gt;0"), 1 / COUNT('regrets 6'!$Q29:$U29))</f>
        <v>0</v>
      </c>
      <c r="T29" s="62"/>
      <c r="U29" s="90"/>
    </row>
    <row r="30" spans="1:21" ht="20" customHeight="1" x14ac:dyDescent="0.15">
      <c r="A30" s="12">
        <v>9</v>
      </c>
      <c r="B30" s="61">
        <f>IF(SUMIF('regrets 6'!$B30:$F30, "&gt;0") &gt; 0, MAX('regrets 6'!B30, 0) / SUMIF('regrets 6'!$B30:$F30, "&gt;0"), 1 / COUNT('regrets 6'!$B30:$F30))</f>
        <v>0.5</v>
      </c>
      <c r="C30" s="61">
        <f>IF(SUMIF('regrets 6'!$B30:$F30, "&gt;0") &gt; 0, MAX('regrets 6'!C30, 0) / SUMIF('regrets 6'!$B30:$F30, "&gt;0"), 1 / COUNT('regrets 6'!$B30:$F30))</f>
        <v>0.5</v>
      </c>
      <c r="D30" s="61"/>
      <c r="E30" s="62"/>
      <c r="F30" s="90"/>
      <c r="G30" s="60">
        <f>IF(SUMIF('regrets 6'!$G30:$K30, "&gt;0") &gt; 0, MAX('regrets 6'!G30, 0) / SUMIF('regrets 6'!$G30:$K30, "&gt;0"), 1 / COUNT('regrets 6'!$G30:$K30))</f>
        <v>0.5</v>
      </c>
      <c r="H30" s="60">
        <f>IF(SUMIF('regrets 6'!$G30:$K30, "&gt;0") &gt; 0, MAX('regrets 6'!H30, 0) / SUMIF('regrets 6'!$G30:$K30, "&gt;0"), 1 / COUNT('regrets 6'!$G30:$K30))</f>
        <v>0.5</v>
      </c>
      <c r="I30" s="61"/>
      <c r="J30" s="62"/>
      <c r="K30" s="90"/>
      <c r="L30" s="60">
        <f>IF(SUMIF('regrets 6'!$L30:$P30, "&gt;0") &gt; 0, MAX('regrets 6'!L30, 0) / SUMIF('regrets 6'!$L30:$P30, "&gt;0"), 1 / COUNT('regrets 6'!$L30:$P30))</f>
        <v>0.5</v>
      </c>
      <c r="M30" s="60">
        <f>IF(SUMIF('regrets 6'!$L30:$P30, "&gt;0") &gt; 0, MAX('regrets 6'!M30, 0) / SUMIF('regrets 6'!$L30:$P30, "&gt;0"), 1 / COUNT('regrets 6'!$L30:$P30))</f>
        <v>0.5</v>
      </c>
      <c r="N30" s="62"/>
      <c r="O30" s="62"/>
      <c r="P30" s="81"/>
      <c r="Q30" s="60">
        <f>IF(SUMIF('regrets 6'!$Q30:$U30, "&gt;0") &gt; 0, MAX('regrets 6'!Q30, 0) / SUMIF('regrets 6'!$Q30:$U30, "&gt;0"), 1 / COUNT('regrets 6'!$Q30:$U30))</f>
        <v>0.5</v>
      </c>
      <c r="R30" s="60">
        <f>IF(SUMIF('regrets 6'!$Q30:$U30, "&gt;0") &gt; 0, MAX('regrets 6'!R30, 0) / SUMIF('regrets 6'!$Q30:$U30, "&gt;0"), 1 / COUNT('regrets 6'!$Q30:$U30))</f>
        <v>0.5</v>
      </c>
      <c r="S30" s="61"/>
      <c r="T30" s="62"/>
      <c r="U30" s="90"/>
    </row>
    <row r="31" spans="1:21" ht="20" customHeight="1" x14ac:dyDescent="0.15">
      <c r="A31" s="12">
        <v>10</v>
      </c>
      <c r="B31" s="61">
        <f>IF(SUMIF('regrets 6'!$B31:$F31, "&gt;0") &gt; 0, MAX('regrets 6'!B31, 0) / SUMIF('regrets 6'!$B31:$F31, "&gt;0"), 1 / COUNT('regrets 6'!$B31:$F31))</f>
        <v>1</v>
      </c>
      <c r="C31" s="61">
        <f>IF(SUMIF('regrets 6'!$B31:$F31, "&gt;0") &gt; 0, MAX('regrets 6'!C31, 0) / SUMIF('regrets 6'!$B31:$F31, "&gt;0"), 1 / COUNT('regrets 6'!$B31:$F31))</f>
        <v>0</v>
      </c>
      <c r="D31" s="61"/>
      <c r="E31" s="62"/>
      <c r="F31" s="90"/>
      <c r="G31" s="60">
        <f>IF(SUMIF('regrets 6'!$G31:$K31, "&gt;0") &gt; 0, MAX('regrets 6'!G31, 0) / SUMIF('regrets 6'!$G31:$K31, "&gt;0"), 1 / COUNT('regrets 6'!$G31:$K31))</f>
        <v>0.5</v>
      </c>
      <c r="H31" s="60">
        <f>IF(SUMIF('regrets 6'!$G31:$K31, "&gt;0") &gt; 0, MAX('regrets 6'!H31, 0) / SUMIF('regrets 6'!$G31:$K31, "&gt;0"), 1 / COUNT('regrets 6'!$G31:$K31))</f>
        <v>0.5</v>
      </c>
      <c r="I31" s="61"/>
      <c r="J31" s="62"/>
      <c r="K31" s="90"/>
      <c r="L31" s="60">
        <f>IF(SUMIF('regrets 6'!$L31:$P31, "&gt;0") &gt; 0, MAX('regrets 6'!L31, 0) / SUMIF('regrets 6'!$L31:$P31, "&gt;0"), 1 / COUNT('regrets 6'!$L31:$P31))</f>
        <v>0.5</v>
      </c>
      <c r="M31" s="60">
        <f>IF(SUMIF('regrets 6'!$L31:$P31, "&gt;0") &gt; 0, MAX('regrets 6'!M31, 0) / SUMIF('regrets 6'!$L31:$P31, "&gt;0"), 1 / COUNT('regrets 6'!$L31:$P31))</f>
        <v>0.5</v>
      </c>
      <c r="N31" s="62"/>
      <c r="O31" s="62"/>
      <c r="P31" s="81"/>
      <c r="Q31" s="60">
        <f>IF(SUMIF('regrets 6'!$Q31:$U31, "&gt;0") &gt; 0, MAX('regrets 6'!Q31, 0) / SUMIF('regrets 6'!$Q31:$U31, "&gt;0"), 1 / COUNT('regrets 6'!$Q31:$U31))</f>
        <v>0.5</v>
      </c>
      <c r="R31" s="60">
        <f>IF(SUMIF('regrets 6'!$Q31:$U31, "&gt;0") &gt; 0, MAX('regrets 6'!R31, 0) / SUMIF('regrets 6'!$Q31:$U31, "&gt;0"), 1 / COUNT('regrets 6'!$Q31:$U31))</f>
        <v>0.5</v>
      </c>
      <c r="S31" s="61"/>
      <c r="T31" s="62"/>
      <c r="U31" s="90"/>
    </row>
    <row r="32" spans="1:21" ht="20" customHeight="1" x14ac:dyDescent="0.15">
      <c r="A32" s="12">
        <v>11</v>
      </c>
      <c r="B32" s="61">
        <f>IF(SUMIF('regrets 6'!$B32:$F32, "&gt;0") &gt; 0, MAX('regrets 6'!B32, 0) / SUMIF('regrets 6'!$B32:$F32, "&gt;0"), 1 / COUNT('regrets 6'!$B32:$F32))</f>
        <v>0.5</v>
      </c>
      <c r="C32" s="61">
        <f>IF(SUMIF('regrets 6'!$B32:$F32, "&gt;0") &gt; 0, MAX('regrets 6'!C32, 0) / SUMIF('regrets 6'!$B32:$F32, "&gt;0"), 1 / COUNT('regrets 6'!$B32:$F32))</f>
        <v>0.5</v>
      </c>
      <c r="D32" s="61"/>
      <c r="E32" s="62"/>
      <c r="F32" s="90"/>
      <c r="G32" s="60">
        <f>IF(SUMIF('regrets 6'!$G32:$K32, "&gt;0") &gt; 0, MAX('regrets 6'!G32, 0) / SUMIF('regrets 6'!$G32:$K32, "&gt;0"), 1 / COUNT('regrets 6'!$G32:$K32))</f>
        <v>0.5</v>
      </c>
      <c r="H32" s="60">
        <f>IF(SUMIF('regrets 6'!$G32:$K32, "&gt;0") &gt; 0, MAX('regrets 6'!H32, 0) / SUMIF('regrets 6'!$G32:$K32, "&gt;0"), 1 / COUNT('regrets 6'!$G32:$K32))</f>
        <v>0.5</v>
      </c>
      <c r="I32" s="61"/>
      <c r="J32" s="62"/>
      <c r="K32" s="90"/>
      <c r="L32" s="60">
        <f>IF(SUMIF('regrets 6'!$L32:$P32, "&gt;0") &gt; 0, MAX('regrets 6'!L32, 0) / SUMIF('regrets 6'!$L32:$P32, "&gt;0"), 1 / COUNT('regrets 6'!$L32:$P32))</f>
        <v>0.5</v>
      </c>
      <c r="M32" s="60">
        <f>IF(SUMIF('regrets 6'!$L32:$P32, "&gt;0") &gt; 0, MAX('regrets 6'!M32, 0) / SUMIF('regrets 6'!$L32:$P32, "&gt;0"), 1 / COUNT('regrets 6'!$L32:$P32))</f>
        <v>0.5</v>
      </c>
      <c r="N32" s="62"/>
      <c r="O32" s="62"/>
      <c r="P32" s="81"/>
      <c r="Q32" s="60">
        <f>IF(SUMIF('regrets 6'!$Q32:$U32, "&gt;0") &gt; 0, MAX('regrets 6'!Q32, 0) / SUMIF('regrets 6'!$Q32:$U32, "&gt;0"), 1 / COUNT('regrets 6'!$Q32:$U32))</f>
        <v>0.5</v>
      </c>
      <c r="R32" s="60">
        <f>IF(SUMIF('regrets 6'!$Q32:$U32, "&gt;0") &gt; 0, MAX('regrets 6'!R32, 0) / SUMIF('regrets 6'!$Q32:$U32, "&gt;0"), 1 / COUNT('regrets 6'!$Q32:$U32))</f>
        <v>0.5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f>IF(SUMIF('regrets 6'!$B33:$F33, "&gt;0") &gt; 0, MAX('regrets 6'!C33, 0) / SUMIF('regrets 6'!$B33:$F33, "&gt;0"), 1 / COUNT('regrets 6'!$B33:$F33))</f>
        <v>0.5</v>
      </c>
      <c r="D33" s="61">
        <f>IF(SUMIF('regrets 6'!$B33:$F33, "&gt;0") &gt; 0, MAX('regrets 6'!D33, 0) / SUMIF('regrets 6'!$B33:$F33, "&gt;0"), 1 / COUNT('regrets 6'!$B33:$F33))</f>
        <v>0.5</v>
      </c>
      <c r="E33" s="62"/>
      <c r="F33" s="90"/>
      <c r="G33" s="60"/>
      <c r="H33" s="60">
        <f>IF(SUMIF('regrets 6'!$G33:$K33, "&gt;0") &gt; 0, MAX('regrets 6'!H33, 0) / SUMIF('regrets 6'!$G33:$K33, "&gt;0"), 1 / COUNT('regrets 6'!$G33:$K33))</f>
        <v>0.5</v>
      </c>
      <c r="I33" s="60">
        <f>IF(SUMIF('regrets 6'!$G33:$K33, "&gt;0") &gt; 0, MAX('regrets 6'!I33, 0) / SUMIF('regrets 6'!$G33:$K33, "&gt;0"), 1 / COUNT('regrets 6'!$G33:$K33))</f>
        <v>0.5</v>
      </c>
      <c r="J33" s="62"/>
      <c r="K33" s="90"/>
      <c r="L33" s="66"/>
      <c r="M33" s="60">
        <f>IF(SUMIF('regrets 6'!$L33:$P33, "&gt;0") &gt; 0, MAX('regrets 6'!M33, 0) / SUMIF('regrets 6'!$L33:$P33, "&gt;0"), 1 / COUNT('regrets 6'!$L33:$P33))</f>
        <v>0.5</v>
      </c>
      <c r="N33" s="60">
        <f>IF(SUMIF('regrets 6'!$L33:$P33, "&gt;0") &gt; 0, MAX('regrets 6'!N33, 0) / SUMIF('regrets 6'!$L33:$P33, "&gt;0"), 1 / COUNT('regrets 6'!$L33:$P33))</f>
        <v>0.5</v>
      </c>
      <c r="O33" s="62"/>
      <c r="P33" s="81"/>
      <c r="Q33" s="60"/>
      <c r="R33" s="60">
        <f>IF(SUMIF('regrets 6'!$Q33:$U33, "&gt;0") &gt; 0, MAX('regrets 6'!R33, 0) / SUMIF('regrets 6'!$Q33:$U33, "&gt;0"), 1 / COUNT('regrets 6'!$Q33:$U33))</f>
        <v>0.5</v>
      </c>
      <c r="S33" s="60">
        <f>IF(SUMIF('regrets 6'!$Q33:$U33, "&gt;0") &gt; 0, MAX('regrets 6'!S33, 0) / SUMIF('regrets 6'!$Q33:$U33, "&gt;0"), 1 / COUNT('regrets 6'!$Q33:$U33))</f>
        <v>0.5</v>
      </c>
      <c r="T33" s="62"/>
      <c r="U33" s="90"/>
    </row>
    <row r="34" spans="1:21" ht="20" customHeight="1" x14ac:dyDescent="0.15">
      <c r="A34" s="12">
        <v>13</v>
      </c>
      <c r="B34" s="61">
        <f>IF(SUMIF('regrets 6'!$B34:$F34, "&gt;0") &gt; 0, MAX('regrets 6'!B34, 0) / SUMIF('regrets 6'!$B34:$F34, "&gt;0"), 1 / COUNT('regrets 6'!$B34:$F34))</f>
        <v>0.5</v>
      </c>
      <c r="C34" s="61">
        <f>IF(SUMIF('regrets 6'!$B34:$F34, "&gt;0") &gt; 0, MAX('regrets 6'!C34, 0) / SUMIF('regrets 6'!$B34:$F34, "&gt;0"), 1 / COUNT('regrets 6'!$B34:$F34))</f>
        <v>0.5</v>
      </c>
      <c r="D34" s="61"/>
      <c r="E34" s="62"/>
      <c r="F34" s="90"/>
      <c r="G34" s="60">
        <f>IF(SUMIF('regrets 6'!$G34:$K34, "&gt;0") &gt; 0, MAX('regrets 6'!G34, 0) / SUMIF('regrets 6'!$G34:$K34, "&gt;0"), 1 / COUNT('regrets 6'!$G34:$K34))</f>
        <v>0.5</v>
      </c>
      <c r="H34" s="60">
        <f>IF(SUMIF('regrets 6'!$G34:$K34, "&gt;0") &gt; 0, MAX('regrets 6'!H34, 0) / SUMIF('regrets 6'!$G34:$K34, "&gt;0"), 1 / COUNT('regrets 6'!$G34:$K34))</f>
        <v>0.5</v>
      </c>
      <c r="I34" s="61"/>
      <c r="J34" s="62"/>
      <c r="K34" s="90"/>
      <c r="L34" s="60">
        <f>IF(SUMIF('regrets 6'!$L34:$P34, "&gt;0") &gt; 0, MAX('regrets 6'!L34, 0) / SUMIF('regrets 6'!$L34:$P34, "&gt;0"), 1 / COUNT('regrets 6'!$L34:$P34))</f>
        <v>0.5</v>
      </c>
      <c r="M34" s="60">
        <f>IF(SUMIF('regrets 6'!$L34:$P34, "&gt;0") &gt; 0, MAX('regrets 6'!M34, 0) / SUMIF('regrets 6'!$L34:$P34, "&gt;0"), 1 / COUNT('regrets 6'!$L34:$P34))</f>
        <v>0.5</v>
      </c>
      <c r="N34" s="62"/>
      <c r="O34" s="62"/>
      <c r="P34" s="81"/>
      <c r="Q34" s="60">
        <f>IF(SUMIF('regrets 6'!$Q34:$U34, "&gt;0") &gt; 0, MAX('regrets 6'!Q34, 0) / SUMIF('regrets 6'!$Q34:$U34, "&gt;0"), 1 / COUNT('regrets 6'!$Q34:$U34))</f>
        <v>0.5</v>
      </c>
      <c r="R34" s="60">
        <f>IF(SUMIF('regrets 6'!$Q34:$U34, "&gt;0") &gt; 0, MAX('regrets 6'!R34, 0) / SUMIF('regrets 6'!$Q34:$U34, "&gt;0"), 1 / COUNT('regrets 6'!$Q34:$U34))</f>
        <v>0.5</v>
      </c>
      <c r="S34" s="61"/>
      <c r="T34" s="62"/>
      <c r="U34" s="90"/>
    </row>
    <row r="35" spans="1:21" ht="20" customHeight="1" x14ac:dyDescent="0.15">
      <c r="A35" s="12">
        <v>14</v>
      </c>
      <c r="B35" s="61">
        <f>IF(SUMIF('regrets 6'!$B35:$F35, "&gt;0") &gt; 0, MAX('regrets 6'!B35, 0) / SUMIF('regrets 6'!$B35:$F35, "&gt;0"), 1 / COUNT('regrets 6'!$B35:$F35))</f>
        <v>0.5</v>
      </c>
      <c r="C35" s="61">
        <f>IF(SUMIF('regrets 6'!$B35:$F35, "&gt;0") &gt; 0, MAX('regrets 6'!C35, 0) / SUMIF('regrets 6'!$B35:$F35, "&gt;0"), 1 / COUNT('regrets 6'!$B35:$F35))</f>
        <v>0.5</v>
      </c>
      <c r="D35" s="61"/>
      <c r="E35" s="62"/>
      <c r="F35" s="90"/>
      <c r="G35" s="60">
        <f>IF(SUMIF('regrets 6'!$G35:$K35, "&gt;0") &gt; 0, MAX('regrets 6'!G35, 0) / SUMIF('regrets 6'!$G35:$K35, "&gt;0"), 1 / COUNT('regrets 6'!$G35:$K35))</f>
        <v>0.5</v>
      </c>
      <c r="H35" s="60">
        <f>IF(SUMIF('regrets 6'!$G35:$K35, "&gt;0") &gt; 0, MAX('regrets 6'!H35, 0) / SUMIF('regrets 6'!$G35:$K35, "&gt;0"), 1 / COUNT('regrets 6'!$G35:$K35))</f>
        <v>0.5</v>
      </c>
      <c r="I35" s="61"/>
      <c r="J35" s="62"/>
      <c r="K35" s="90"/>
      <c r="L35" s="60">
        <f>IF(SUMIF('regrets 6'!$L35:$P35, "&gt;0") &gt; 0, MAX('regrets 6'!L35, 0) / SUMIF('regrets 6'!$L35:$P35, "&gt;0"), 1 / COUNT('regrets 6'!$L35:$P35))</f>
        <v>0.5</v>
      </c>
      <c r="M35" s="60">
        <f>IF(SUMIF('regrets 6'!$L35:$P35, "&gt;0") &gt; 0, MAX('regrets 6'!M35, 0) / SUMIF('regrets 6'!$L35:$P35, "&gt;0"), 1 / COUNT('regrets 6'!$L35:$P35))</f>
        <v>0.5</v>
      </c>
      <c r="N35" s="62"/>
      <c r="O35" s="62"/>
      <c r="P35" s="81"/>
      <c r="Q35" s="60">
        <f>IF(SUMIF('regrets 6'!$Q35:$U35, "&gt;0") &gt; 0, MAX('regrets 6'!Q35, 0) / SUMIF('regrets 6'!$Q35:$U35, "&gt;0"), 1 / COUNT('regrets 6'!$Q35:$U35))</f>
        <v>1</v>
      </c>
      <c r="R35" s="60">
        <f>IF(SUMIF('regrets 6'!$Q35:$U35, "&gt;0") &gt; 0, MAX('regrets 6'!R35, 0) / SUMIF('regrets 6'!$Q35:$U35, "&gt;0"), 1 / COUNT('regrets 6'!$Q35:$U35))</f>
        <v>0</v>
      </c>
      <c r="S35" s="61"/>
      <c r="T35" s="62"/>
      <c r="U35" s="90"/>
    </row>
    <row r="36" spans="1:21" ht="20" customHeight="1" x14ac:dyDescent="0.15">
      <c r="A36" s="12">
        <v>15</v>
      </c>
      <c r="B36" s="61">
        <f>IF(SUMIF('regrets 6'!$B36:$F36, "&gt;0") &gt; 0, MAX('regrets 6'!B36, 0) / SUMIF('regrets 6'!$B36:$F36, "&gt;0"), 1 / COUNT('regrets 6'!$B36:$F36))</f>
        <v>0.5</v>
      </c>
      <c r="C36" s="61">
        <f>IF(SUMIF('regrets 6'!$B36:$F36, "&gt;0") &gt; 0, MAX('regrets 6'!C36, 0) / SUMIF('regrets 6'!$B36:$F36, "&gt;0"), 1 / COUNT('regrets 6'!$B36:$F36))</f>
        <v>0.5</v>
      </c>
      <c r="D36" s="61"/>
      <c r="E36" s="62"/>
      <c r="F36" s="90"/>
      <c r="G36" s="60">
        <f>IF(SUMIF('regrets 6'!$G36:$K36, "&gt;0") &gt; 0, MAX('regrets 6'!G36, 0) / SUMIF('regrets 6'!$G36:$K36, "&gt;0"), 1 / COUNT('regrets 6'!$G36:$K36))</f>
        <v>0.5</v>
      </c>
      <c r="H36" s="60">
        <f>IF(SUMIF('regrets 6'!$G36:$K36, "&gt;0") &gt; 0, MAX('regrets 6'!H36, 0) / SUMIF('regrets 6'!$G36:$K36, "&gt;0"), 1 / COUNT('regrets 6'!$G36:$K36))</f>
        <v>0.5</v>
      </c>
      <c r="I36" s="61"/>
      <c r="J36" s="62"/>
      <c r="K36" s="90"/>
      <c r="L36" s="60">
        <f>IF(SUMIF('regrets 6'!$L36:$P36, "&gt;0") &gt; 0, MAX('regrets 6'!L36, 0) / SUMIF('regrets 6'!$L36:$P36, "&gt;0"), 1 / COUNT('regrets 6'!$L36:$P36))</f>
        <v>0.5</v>
      </c>
      <c r="M36" s="60">
        <f>IF(SUMIF('regrets 6'!$L36:$P36, "&gt;0") &gt; 0, MAX('regrets 6'!M36, 0) / SUMIF('regrets 6'!$L36:$P36, "&gt;0"), 1 / COUNT('regrets 6'!$L36:$P36))</f>
        <v>0.5</v>
      </c>
      <c r="N36" s="62"/>
      <c r="O36" s="62"/>
      <c r="P36" s="81"/>
      <c r="Q36" s="60">
        <f>IF(SUMIF('regrets 6'!$Q36:$U36, "&gt;0") &gt; 0, MAX('regrets 6'!Q36, 0) / SUMIF('regrets 6'!$Q36:$U36, "&gt;0"), 1 / COUNT('regrets 6'!$Q36:$U36))</f>
        <v>0.5</v>
      </c>
      <c r="R36" s="60">
        <f>IF(SUMIF('regrets 6'!$Q36:$U36, "&gt;0") &gt; 0, MAX('regrets 6'!R36, 0) / SUMIF('regrets 6'!$Q36:$U36, "&gt;0"), 1 / COUNT('regrets 6'!$Q36:$U36))</f>
        <v>0.5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f>IF(SUMIF('regrets 6'!$B37:$F37, "&gt;0") &gt; 0, MAX('regrets 6'!C37, 0) / SUMIF('regrets 6'!$B37:$F37, "&gt;0"), 1 / COUNT('regrets 6'!$B37:$F37))</f>
        <v>0.5</v>
      </c>
      <c r="D37" s="61">
        <f>IF(SUMIF('regrets 6'!$B37:$F37, "&gt;0") &gt; 0, MAX('regrets 6'!D37, 0) / SUMIF('regrets 6'!$B37:$F37, "&gt;0"), 1 / COUNT('regrets 6'!$B37:$F37))</f>
        <v>0.5</v>
      </c>
      <c r="E37" s="62"/>
      <c r="F37" s="90"/>
      <c r="G37" s="60"/>
      <c r="H37" s="60">
        <f>IF(SUMIF('regrets 6'!$G37:$K37, "&gt;0") &gt; 0, MAX('regrets 6'!H37, 0) / SUMIF('regrets 6'!$G37:$K37, "&gt;0"), 1 / COUNT('regrets 6'!$G37:$K37))</f>
        <v>0.5</v>
      </c>
      <c r="I37" s="60">
        <f>IF(SUMIF('regrets 6'!$G37:$K37, "&gt;0") &gt; 0, MAX('regrets 6'!I37, 0) / SUMIF('regrets 6'!$G37:$K37, "&gt;0"), 1 / COUNT('regrets 6'!$G37:$K37))</f>
        <v>0.5</v>
      </c>
      <c r="J37" s="62"/>
      <c r="K37" s="90"/>
      <c r="L37" s="66"/>
      <c r="M37" s="60">
        <f>IF(SUMIF('regrets 6'!$L37:$P37, "&gt;0") &gt; 0, MAX('regrets 6'!M37, 0) / SUMIF('regrets 6'!$L37:$P37, "&gt;0"), 1 / COUNT('regrets 6'!$L37:$P37))</f>
        <v>0.5</v>
      </c>
      <c r="N37" s="60">
        <f>IF(SUMIF('regrets 6'!$L37:$P37, "&gt;0") &gt; 0, MAX('regrets 6'!N37, 0) / SUMIF('regrets 6'!$L37:$P37, "&gt;0"), 1 / COUNT('regrets 6'!$L37:$P37))</f>
        <v>0.5</v>
      </c>
      <c r="O37" s="62"/>
      <c r="P37" s="81"/>
      <c r="Q37" s="60"/>
      <c r="R37" s="60">
        <f>IF(SUMIF('regrets 6'!$Q37:$U37, "&gt;0") &gt; 0, MAX('regrets 6'!R37, 0) / SUMIF('regrets 6'!$Q37:$U37, "&gt;0"), 1 / COUNT('regrets 6'!$Q37:$U37))</f>
        <v>0.5</v>
      </c>
      <c r="S37" s="60">
        <f>IF(SUMIF('regrets 6'!$Q37:$U37, "&gt;0") &gt; 0, MAX('regrets 6'!S37, 0) / SUMIF('regrets 6'!$Q37:$U37, "&gt;0"), 1 / COUNT('regrets 6'!$Q37:$U37))</f>
        <v>0.5</v>
      </c>
      <c r="T37" s="62"/>
      <c r="U37" s="90"/>
    </row>
    <row r="38" spans="1:21" ht="20" customHeight="1" x14ac:dyDescent="0.15">
      <c r="A38" s="12">
        <v>17</v>
      </c>
      <c r="B38" s="61">
        <f>IF(SUMIF('regrets 6'!$B38:$F38, "&gt;0") &gt; 0, MAX('regrets 6'!B38, 0) / SUMIF('regrets 6'!$B38:$F38, "&gt;0"), 1 / COUNT('regrets 6'!$B38:$F38))</f>
        <v>0.5</v>
      </c>
      <c r="C38" s="61">
        <f>IF(SUMIF('regrets 6'!$B38:$F38, "&gt;0") &gt; 0, MAX('regrets 6'!C38, 0) / SUMIF('regrets 6'!$B38:$F38, "&gt;0"), 1 / COUNT('regrets 6'!$B38:$F38))</f>
        <v>0.5</v>
      </c>
      <c r="D38" s="61"/>
      <c r="E38" s="62"/>
      <c r="F38" s="90"/>
      <c r="G38" s="60">
        <f>IF(SUMIF('regrets 6'!$G38:$K38, "&gt;0") &gt; 0, MAX('regrets 6'!G38, 0) / SUMIF('regrets 6'!$G38:$K38, "&gt;0"), 1 / COUNT('regrets 6'!$G38:$K38))</f>
        <v>0.5</v>
      </c>
      <c r="H38" s="60">
        <f>IF(SUMIF('regrets 6'!$G38:$K38, "&gt;0") &gt; 0, MAX('regrets 6'!H38, 0) / SUMIF('regrets 6'!$G38:$K38, "&gt;0"), 1 / COUNT('regrets 6'!$G38:$K38))</f>
        <v>0.5</v>
      </c>
      <c r="I38" s="61"/>
      <c r="J38" s="62"/>
      <c r="K38" s="90"/>
      <c r="L38" s="60">
        <f>IF(SUMIF('regrets 6'!$L38:$P38, "&gt;0") &gt; 0, MAX('regrets 6'!L38, 0) / SUMIF('regrets 6'!$L38:$P38, "&gt;0"), 1 / COUNT('regrets 6'!$L38:$P38))</f>
        <v>0.5</v>
      </c>
      <c r="M38" s="60">
        <f>IF(SUMIF('regrets 6'!$L38:$P38, "&gt;0") &gt; 0, MAX('regrets 6'!M38, 0) / SUMIF('regrets 6'!$L38:$P38, "&gt;0"), 1 / COUNT('regrets 6'!$L38:$P38))</f>
        <v>0.5</v>
      </c>
      <c r="N38" s="62"/>
      <c r="O38" s="62"/>
      <c r="P38" s="81"/>
      <c r="Q38" s="60">
        <f>IF(SUMIF('regrets 6'!$Q38:$U38, "&gt;0") &gt; 0, MAX('regrets 6'!Q38, 0) / SUMIF('regrets 6'!$Q38:$U38, "&gt;0"), 1 / COUNT('regrets 6'!$Q38:$U38))</f>
        <v>0.5</v>
      </c>
      <c r="R38" s="60">
        <f>IF(SUMIF('regrets 6'!$Q38:$U38, "&gt;0") &gt; 0, MAX('regrets 6'!R38, 0) / SUMIF('regrets 6'!$Q38:$U38, "&gt;0"), 1 / COUNT('regrets 6'!$Q38:$U38))</f>
        <v>0.5</v>
      </c>
      <c r="S38" s="61"/>
      <c r="T38" s="62"/>
      <c r="U38" s="90"/>
    </row>
    <row r="39" spans="1:21" ht="20" customHeight="1" x14ac:dyDescent="0.15">
      <c r="A39" s="12">
        <v>18</v>
      </c>
      <c r="B39" s="61">
        <f>IF(SUMIF('regrets 6'!$B39:$F39, "&gt;0") &gt; 0, MAX('regrets 6'!B39, 0) / SUMIF('regrets 6'!$B39:$F39, "&gt;0"), 1 / COUNT('regrets 6'!$B39:$F39))</f>
        <v>0.5</v>
      </c>
      <c r="C39" s="61">
        <f>IF(SUMIF('regrets 6'!$B39:$F39, "&gt;0") &gt; 0, MAX('regrets 6'!C39, 0) / SUMIF('regrets 6'!$B39:$F39, "&gt;0"), 1 / COUNT('regrets 6'!$B39:$F39))</f>
        <v>0.5</v>
      </c>
      <c r="D39" s="61"/>
      <c r="E39" s="62"/>
      <c r="F39" s="90"/>
      <c r="G39" s="60">
        <f>IF(SUMIF('regrets 6'!$G39:$K39, "&gt;0") &gt; 0, MAX('regrets 6'!G39, 0) / SUMIF('regrets 6'!$G39:$K39, "&gt;0"), 1 / COUNT('regrets 6'!$G39:$K39))</f>
        <v>0.5</v>
      </c>
      <c r="H39" s="60">
        <f>IF(SUMIF('regrets 6'!$G39:$K39, "&gt;0") &gt; 0, MAX('regrets 6'!H39, 0) / SUMIF('regrets 6'!$G39:$K39, "&gt;0"), 1 / COUNT('regrets 6'!$G39:$K39))</f>
        <v>0.5</v>
      </c>
      <c r="I39" s="61"/>
      <c r="J39" s="62"/>
      <c r="K39" s="90"/>
      <c r="L39" s="60">
        <f>IF(SUMIF('regrets 6'!$L39:$P39, "&gt;0") &gt; 0, MAX('regrets 6'!L39, 0) / SUMIF('regrets 6'!$L39:$P39, "&gt;0"), 1 / COUNT('regrets 6'!$L39:$P39))</f>
        <v>0.5</v>
      </c>
      <c r="M39" s="60">
        <f>IF(SUMIF('regrets 6'!$L39:$P39, "&gt;0") &gt; 0, MAX('regrets 6'!M39, 0) / SUMIF('regrets 6'!$L39:$P39, "&gt;0"), 1 / COUNT('regrets 6'!$L39:$P39))</f>
        <v>0.5</v>
      </c>
      <c r="N39" s="62"/>
      <c r="O39" s="62"/>
      <c r="P39" s="81"/>
      <c r="Q39" s="60">
        <f>IF(SUMIF('regrets 6'!$Q39:$U39, "&gt;0") &gt; 0, MAX('regrets 6'!Q39, 0) / SUMIF('regrets 6'!$Q39:$U39, "&gt;0"), 1 / COUNT('regrets 6'!$Q39:$U39))</f>
        <v>0.5</v>
      </c>
      <c r="R39" s="60">
        <f>IF(SUMIF('regrets 6'!$Q39:$U39, "&gt;0") &gt; 0, MAX('regrets 6'!R39, 0) / SUMIF('regrets 6'!$Q39:$U39, "&gt;0"), 1 / COUNT('regrets 6'!$Q39:$U39))</f>
        <v>0.5</v>
      </c>
      <c r="S39" s="61"/>
      <c r="T39" s="62"/>
      <c r="U39" s="90"/>
    </row>
    <row r="40" spans="1:21" ht="20.75" customHeight="1" thickBot="1" x14ac:dyDescent="0.2">
      <c r="A40" s="17">
        <v>19</v>
      </c>
      <c r="B40" s="61">
        <f>IF(SUMIF('regrets 6'!$B40:$F40, "&gt;0") &gt; 0, MAX('regrets 6'!B40, 0) / SUMIF('regrets 6'!$B40:$F40, "&gt;0"), 1 / COUNT('regrets 6'!$B40:$F40))</f>
        <v>0.5</v>
      </c>
      <c r="C40" s="61">
        <f>IF(SUMIF('regrets 6'!$B40:$F40, "&gt;0") &gt; 0, MAX('regrets 6'!C40, 0) / SUMIF('regrets 6'!$B40:$F40, "&gt;0"), 1 / COUNT('regrets 6'!$B40:$F40))</f>
        <v>0.5</v>
      </c>
      <c r="D40" s="83"/>
      <c r="E40" s="75"/>
      <c r="F40" s="94"/>
      <c r="G40" s="60">
        <f>IF(SUMIF('regrets 6'!$G40:$K40, "&gt;0") &gt; 0, MAX('regrets 6'!G40, 0) / SUMIF('regrets 6'!$G40:$K40, "&gt;0"), 1 / COUNT('regrets 6'!$G40:$K40))</f>
        <v>0.5</v>
      </c>
      <c r="H40" s="60">
        <f>IF(SUMIF('regrets 6'!$G40:$K40, "&gt;0") &gt; 0, MAX('regrets 6'!H40, 0) / SUMIF('regrets 6'!$G40:$K40, "&gt;0"), 1 / COUNT('regrets 6'!$G40:$K40))</f>
        <v>0.5</v>
      </c>
      <c r="I40" s="83"/>
      <c r="J40" s="75"/>
      <c r="K40" s="94"/>
      <c r="L40" s="60">
        <f>IF(SUMIF('regrets 6'!$L40:$P40, "&gt;0") &gt; 0, MAX('regrets 6'!L40, 0) / SUMIF('regrets 6'!$L40:$P40, "&gt;0"), 1 / COUNT('regrets 6'!$L40:$P40))</f>
        <v>0.5</v>
      </c>
      <c r="M40" s="60">
        <f>IF(SUMIF('regrets 6'!$L40:$P40, "&gt;0") &gt; 0, MAX('regrets 6'!M40, 0) / SUMIF('regrets 6'!$L40:$P40, "&gt;0"), 1 / COUNT('regrets 6'!$L40:$P40))</f>
        <v>0.5</v>
      </c>
      <c r="N40" s="75"/>
      <c r="O40" s="75"/>
      <c r="P40" s="84"/>
      <c r="Q40" s="60">
        <f>IF(SUMIF('regrets 6'!$Q40:$U40, "&gt;0") &gt; 0, MAX('regrets 6'!Q40, 0) / SUMIF('regrets 6'!$Q40:$U40, "&gt;0"), 1 / COUNT('regrets 6'!$Q40:$U40))</f>
        <v>0.5</v>
      </c>
      <c r="R40" s="60">
        <f>IF(SUMIF('regrets 6'!$Q40:$U40, "&gt;0") &gt; 0, MAX('regrets 6'!R40, 0) / SUMIF('regrets 6'!$Q40:$U40, "&gt;0"), 1 / COUNT('regrets 6'!$Q40:$U40))</f>
        <v>0.5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f>IF(SUMIF('regrets 6'!$B41:$F41, "&gt;0") &gt; 0, MAX('regrets 6'!C41, 0) / SUMIF('regrets 6'!$B41:$F41, "&gt;0"), 1 / COUNT('regrets 6'!$B41:$F41))</f>
        <v>0.33333333333333331</v>
      </c>
      <c r="D41" s="68">
        <f>IF(SUMIF('regrets 6'!$B41:$F41, "&gt;0") &gt; 0, MAX('regrets 6'!D41, 0) / SUMIF('regrets 6'!$B41:$F41, "&gt;0"), 1 / COUNT('regrets 6'!$B41:$F41))</f>
        <v>0.33333333333333331</v>
      </c>
      <c r="E41" s="68">
        <f>IF(SUMIF('regrets 6'!$B41:$F41, "&gt;0") &gt; 0, MAX('regrets 6'!E41, 0) / SUMIF('regrets 6'!$B41:$F41, "&gt;0"), 1 / COUNT('regrets 6'!$B41:$F41))</f>
        <v>0.33333333333333331</v>
      </c>
      <c r="F41" s="86"/>
      <c r="G41" s="87"/>
      <c r="H41" s="68">
        <f>IF(SUMIF('regrets 6'!$G41:$K41, "&gt;0") &gt; 0, MAX('regrets 6'!H41, 0) / SUMIF('regrets 6'!$G41:$K41, "&gt;0"), 1 / COUNT('regrets 6'!$G41:$K41))</f>
        <v>0.33333333333333331</v>
      </c>
      <c r="I41" s="68">
        <f>IF(SUMIF('regrets 6'!$G41:$K41, "&gt;0") &gt; 0, MAX('regrets 6'!I41, 0) / SUMIF('regrets 6'!$G41:$K41, "&gt;0"), 1 / COUNT('regrets 6'!$G41:$K41))</f>
        <v>0.33333333333333331</v>
      </c>
      <c r="J41" s="68">
        <f>IF(SUMIF('regrets 6'!$G41:$K41, "&gt;0") &gt; 0, MAX('regrets 6'!J41, 0) / SUMIF('regrets 6'!$G41:$K41, "&gt;0"), 1 / COUNT('regrets 6'!$G41:$K41))</f>
        <v>0.33333333333333331</v>
      </c>
      <c r="K41" s="86"/>
      <c r="L41" s="87"/>
      <c r="M41" s="68">
        <f>IF(SUMIF('regrets 6'!$L41:$P41, "&gt;0") &gt; 0, MAX('regrets 6'!M41, 0) / SUMIF('regrets 6'!$L41:$P41, "&gt;0"), 1 / COUNT('regrets 6'!$L41:$P41))</f>
        <v>0.33333333333333331</v>
      </c>
      <c r="N41" s="68">
        <f>IF(SUMIF('regrets 6'!$L41:$P41, "&gt;0") &gt; 0, MAX('regrets 6'!N41, 0) / SUMIF('regrets 6'!$L41:$P41, "&gt;0"), 1 / COUNT('regrets 6'!$L41:$P41))</f>
        <v>0.33333333333333331</v>
      </c>
      <c r="O41" s="68">
        <f>IF(SUMIF('regrets 6'!$L41:$P41, "&gt;0") &gt; 0, MAX('regrets 6'!O41, 0) / SUMIF('regrets 6'!$L41:$P41, "&gt;0"), 1 / COUNT('regrets 6'!$L41:$P41))</f>
        <v>0.33333333333333331</v>
      </c>
      <c r="P41" s="86"/>
      <c r="Q41" s="87"/>
      <c r="R41" s="68">
        <f>IF(SUMIF('regrets 6'!$Q41:$U41, "&gt;0") &gt; 0, MAX('regrets 6'!R41, 0) / SUMIF('regrets 6'!$Q41:$U41, "&gt;0"), 1 / COUNT('regrets 6'!$Q41:$U41))</f>
        <v>0.33333333333333331</v>
      </c>
      <c r="S41" s="68">
        <f>IF(SUMIF('regrets 6'!$Q41:$U41, "&gt;0") &gt; 0, MAX('regrets 6'!S41, 0) / SUMIF('regrets 6'!$Q41:$U41, "&gt;0"), 1 / COUNT('regrets 6'!$Q41:$U41))</f>
        <v>0.33333333333333331</v>
      </c>
      <c r="T41" s="68">
        <f>IF(SUMIF('regrets 6'!$Q41:$U41, "&gt;0") &gt; 0, MAX('regrets 6'!T41, 0) / SUMIF('regrets 6'!$Q41:$U41, "&gt;0"), 1 / COUNT('regrets 6'!$Q41:$U41))</f>
        <v>0.33333333333333331</v>
      </c>
      <c r="U41" s="86"/>
    </row>
    <row r="42" spans="1:21" ht="20" customHeight="1" x14ac:dyDescent="0.15">
      <c r="A42" s="12">
        <v>1</v>
      </c>
      <c r="B42" s="61">
        <f>IF(SUMIF('regrets 6'!$B42:$F42, "&gt;0") &gt; 0, MAX('regrets 6'!B42, 0) / SUMIF('regrets 6'!$B42:$F42, "&gt;0"), 1 / COUNT('regrets 6'!$B42:$F42))</f>
        <v>0.5</v>
      </c>
      <c r="C42" s="61">
        <f>IF(SUMIF('regrets 6'!$B42:$F42, "&gt;0") &gt; 0, MAX('regrets 6'!C42, 0) / SUMIF('regrets 6'!$B42:$F42, "&gt;0"), 1 / COUNT('regrets 6'!$B42:$F42))</f>
        <v>0.5</v>
      </c>
      <c r="D42" s="61"/>
      <c r="E42" s="61"/>
      <c r="F42" s="90"/>
      <c r="G42" s="60">
        <f>IF(SUMIF('regrets 6'!$G42:$K42, "&gt;0") &gt; 0, MAX('regrets 6'!G42, 0) / SUMIF('regrets 6'!$G42:$K42, "&gt;0"), 1 / COUNT('regrets 6'!$G42:$K42))</f>
        <v>0.5</v>
      </c>
      <c r="H42" s="60">
        <f>IF(SUMIF('regrets 6'!$G42:$K42, "&gt;0") &gt; 0, MAX('regrets 6'!H42, 0) / SUMIF('regrets 6'!$G42:$K42, "&gt;0"), 1 / COUNT('regrets 6'!$G42:$K42))</f>
        <v>0.5</v>
      </c>
      <c r="I42" s="61"/>
      <c r="J42" s="61"/>
      <c r="K42" s="90"/>
      <c r="L42" s="60">
        <f>IF(SUMIF('regrets 6'!$L42:$P42, "&gt;0") &gt; 0, MAX('regrets 6'!L42, 0) / SUMIF('regrets 6'!$L42:$P42, "&gt;0"), 1 / COUNT('regrets 6'!$L42:$P42))</f>
        <v>0.5</v>
      </c>
      <c r="M42" s="60">
        <f>IF(SUMIF('regrets 6'!$L42:$P42, "&gt;0") &gt; 0, MAX('regrets 6'!M42, 0) / SUMIF('regrets 6'!$L42:$P42, "&gt;0"), 1 / COUNT('regrets 6'!$L42:$P42))</f>
        <v>0.5</v>
      </c>
      <c r="N42" s="61"/>
      <c r="O42" s="61"/>
      <c r="P42" s="90"/>
      <c r="Q42" s="60">
        <f>IF(SUMIF('regrets 6'!$Q42:$U42, "&gt;0") &gt; 0, MAX('regrets 6'!Q42, 0) / SUMIF('regrets 6'!$Q42:$U42, "&gt;0"), 1 / COUNT('regrets 6'!$Q42:$U42))</f>
        <v>0.5</v>
      </c>
      <c r="R42" s="60">
        <f>IF(SUMIF('regrets 6'!$Q42:$U42, "&gt;0") &gt; 0, MAX('regrets 6'!R42, 0) / SUMIF('regrets 6'!$Q42:$U42, "&gt;0"), 1 / COUNT('regrets 6'!$Q42:$U42))</f>
        <v>0.5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f>IF(SUMIF('regrets 6'!$B43:$F43, "&gt;0") &gt; 0, MAX('regrets 6'!C43, 0) / SUMIF('regrets 6'!$B43:$F43, "&gt;0"), 1 / COUNT('regrets 6'!$B43:$F43))</f>
        <v>0.33333333333333331</v>
      </c>
      <c r="D43" s="61">
        <f>IF(SUMIF('regrets 6'!$B43:$F43, "&gt;0") &gt; 0, MAX('regrets 6'!D43, 0) / SUMIF('regrets 6'!$B43:$F43, "&gt;0"), 1 / COUNT('regrets 6'!$B43:$F43))</f>
        <v>0.33333333333333331</v>
      </c>
      <c r="E43" s="61">
        <f>IF(SUMIF('regrets 6'!$B43:$F43, "&gt;0") &gt; 0, MAX('regrets 6'!E43, 0) / SUMIF('regrets 6'!$B43:$F43, "&gt;0"), 1 / COUNT('regrets 6'!$B43:$F43))</f>
        <v>0.33333333333333331</v>
      </c>
      <c r="F43" s="90"/>
      <c r="G43" s="60"/>
      <c r="H43" s="60">
        <f>IF(SUMIF('regrets 6'!$G43:$K43, "&gt;0") &gt; 0, MAX('regrets 6'!H43, 0) / SUMIF('regrets 6'!$G43:$K43, "&gt;0"), 1 / COUNT('regrets 6'!$G43:$K43))</f>
        <v>0.33333333333333331</v>
      </c>
      <c r="I43" s="60">
        <f>IF(SUMIF('regrets 6'!$G43:$K43, "&gt;0") &gt; 0, MAX('regrets 6'!I43, 0) / SUMIF('regrets 6'!$G43:$K43, "&gt;0"), 1 / COUNT('regrets 6'!$G43:$K43))</f>
        <v>0.33333333333333331</v>
      </c>
      <c r="J43" s="60">
        <f>IF(SUMIF('regrets 6'!$G43:$K43, "&gt;0") &gt; 0, MAX('regrets 6'!J43, 0) / SUMIF('regrets 6'!$G43:$K43, "&gt;0"), 1 / COUNT('regrets 6'!$G43:$K43))</f>
        <v>0.33333333333333331</v>
      </c>
      <c r="K43" s="90"/>
      <c r="L43" s="60"/>
      <c r="M43" s="60">
        <f>IF(SUMIF('regrets 6'!$L43:$P43, "&gt;0") &gt; 0, MAX('regrets 6'!M43, 0) / SUMIF('regrets 6'!$L43:$P43, "&gt;0"), 1 / COUNT('regrets 6'!$L43:$P43))</f>
        <v>0.33333333333333331</v>
      </c>
      <c r="N43" s="60">
        <f>IF(SUMIF('regrets 6'!$L43:$P43, "&gt;0") &gt; 0, MAX('regrets 6'!N43, 0) / SUMIF('regrets 6'!$L43:$P43, "&gt;0"), 1 / COUNT('regrets 6'!$L43:$P43))</f>
        <v>0.33333333333333331</v>
      </c>
      <c r="O43" s="60">
        <f>IF(SUMIF('regrets 6'!$L43:$P43, "&gt;0") &gt; 0, MAX('regrets 6'!O43, 0) / SUMIF('regrets 6'!$L43:$P43, "&gt;0"), 1 / COUNT('regrets 6'!$L43:$P43))</f>
        <v>0.33333333333333331</v>
      </c>
      <c r="P43" s="90"/>
      <c r="Q43" s="60"/>
      <c r="R43" s="60">
        <f>IF(SUMIF('regrets 6'!$Q43:$U43, "&gt;0") &gt; 0, MAX('regrets 6'!R43, 0) / SUMIF('regrets 6'!$Q43:$U43, "&gt;0"), 1 / COUNT('regrets 6'!$Q43:$U43))</f>
        <v>0.33333333333333331</v>
      </c>
      <c r="S43" s="60">
        <f>IF(SUMIF('regrets 6'!$Q43:$U43, "&gt;0") &gt; 0, MAX('regrets 6'!S43, 0) / SUMIF('regrets 6'!$Q43:$U43, "&gt;0"), 1 / COUNT('regrets 6'!$Q43:$U43))</f>
        <v>0.33333333333333331</v>
      </c>
      <c r="T43" s="60">
        <f>IF(SUMIF('regrets 6'!$Q43:$U43, "&gt;0") &gt; 0, MAX('regrets 6'!T43, 0) / SUMIF('regrets 6'!$Q43:$U43, "&gt;0"), 1 / COUNT('regrets 6'!$Q43:$U43))</f>
        <v>0.33333333333333331</v>
      </c>
      <c r="U43" s="90"/>
    </row>
    <row r="44" spans="1:21" ht="20" customHeight="1" x14ac:dyDescent="0.15">
      <c r="A44" s="12">
        <v>3</v>
      </c>
      <c r="B44" s="61">
        <f>IF(SUMIF('regrets 6'!$B44:$F44, "&gt;0") &gt; 0, MAX('regrets 6'!B44, 0) / SUMIF('regrets 6'!$B44:$F44, "&gt;0"), 1 / COUNT('regrets 6'!$B44:$F44))</f>
        <v>0.5</v>
      </c>
      <c r="C44" s="61">
        <f>IF(SUMIF('regrets 6'!$B44:$F44, "&gt;0") &gt; 0, MAX('regrets 6'!C44, 0) / SUMIF('regrets 6'!$B44:$F44, "&gt;0"), 1 / COUNT('regrets 6'!$B44:$F44))</f>
        <v>0.5</v>
      </c>
      <c r="D44" s="61"/>
      <c r="E44" s="61"/>
      <c r="F44" s="90"/>
      <c r="G44" s="60">
        <f>IF(SUMIF('regrets 6'!$G44:$K44, "&gt;0") &gt; 0, MAX('regrets 6'!G44, 0) / SUMIF('regrets 6'!$G44:$K44, "&gt;0"), 1 / COUNT('regrets 6'!$G44:$K44))</f>
        <v>0.5</v>
      </c>
      <c r="H44" s="60">
        <f>IF(SUMIF('regrets 6'!$G44:$K44, "&gt;0") &gt; 0, MAX('regrets 6'!H44, 0) / SUMIF('regrets 6'!$G44:$K44, "&gt;0"), 1 / COUNT('regrets 6'!$G44:$K44))</f>
        <v>0.5</v>
      </c>
      <c r="I44" s="61"/>
      <c r="J44" s="61"/>
      <c r="K44" s="90"/>
      <c r="L44" s="60">
        <f>IF(SUMIF('regrets 6'!$L44:$P44, "&gt;0") &gt; 0, MAX('regrets 6'!L44, 0) / SUMIF('regrets 6'!$L44:$P44, "&gt;0"), 1 / COUNT('regrets 6'!$L44:$P44))</f>
        <v>0.5</v>
      </c>
      <c r="M44" s="60">
        <f>IF(SUMIF('regrets 6'!$L44:$P44, "&gt;0") &gt; 0, MAX('regrets 6'!M44, 0) / SUMIF('regrets 6'!$L44:$P44, "&gt;0"), 1 / COUNT('regrets 6'!$L44:$P44))</f>
        <v>0.5</v>
      </c>
      <c r="N44" s="61"/>
      <c r="O44" s="61"/>
      <c r="P44" s="90"/>
      <c r="Q44" s="60">
        <f>IF(SUMIF('regrets 6'!$Q44:$U44, "&gt;0") &gt; 0, MAX('regrets 6'!Q44, 0) / SUMIF('regrets 6'!$Q44:$U44, "&gt;0"), 1 / COUNT('regrets 6'!$Q44:$U44))</f>
        <v>0.5</v>
      </c>
      <c r="R44" s="60">
        <f>IF(SUMIF('regrets 6'!$Q44:$U44, "&gt;0") &gt; 0, MAX('regrets 6'!R44, 0) / SUMIF('regrets 6'!$Q44:$U44, "&gt;0"), 1 / COUNT('regrets 6'!$Q44:$U44))</f>
        <v>0.5</v>
      </c>
      <c r="S44" s="61"/>
      <c r="T44" s="61"/>
      <c r="U44" s="90"/>
    </row>
    <row r="45" spans="1:21" ht="20" customHeight="1" x14ac:dyDescent="0.15">
      <c r="A45" s="12">
        <v>4</v>
      </c>
      <c r="B45" s="61">
        <f>IF(SUMIF('regrets 6'!$B45:$F45, "&gt;0") &gt; 0, MAX('regrets 6'!B45, 0) / SUMIF('regrets 6'!$B45:$F45, "&gt;0"), 1 / COUNT('regrets 6'!$B45:$F45))</f>
        <v>0.33333333333333331</v>
      </c>
      <c r="C45" s="61">
        <f>IF(SUMIF('regrets 6'!$B45:$F45, "&gt;0") &gt; 0, MAX('regrets 6'!C45, 0) / SUMIF('regrets 6'!$B45:$F45, "&gt;0"), 1 / COUNT('regrets 6'!$B45:$F45))</f>
        <v>0.33333333333333331</v>
      </c>
      <c r="D45" s="61">
        <f>IF(SUMIF('regrets 6'!$B45:$F45, "&gt;0") &gt; 0, MAX('regrets 6'!D45, 0) / SUMIF('regrets 6'!$B45:$F45, "&gt;0"), 1 / COUNT('regrets 6'!$B45:$F45))</f>
        <v>0.33333333333333331</v>
      </c>
      <c r="E45" s="61"/>
      <c r="F45" s="90"/>
      <c r="G45" s="60">
        <f>IF(SUMIF('regrets 6'!$G45:$K45, "&gt;0") &gt; 0, MAX('regrets 6'!G45, 0) / SUMIF('regrets 6'!$G45:$K45, "&gt;0"), 1 / COUNT('regrets 6'!$G45:$K45))</f>
        <v>0.33333333333333331</v>
      </c>
      <c r="H45" s="60">
        <f>IF(SUMIF('regrets 6'!$G45:$K45, "&gt;0") &gt; 0, MAX('regrets 6'!H45, 0) / SUMIF('regrets 6'!$G45:$K45, "&gt;0"), 1 / COUNT('regrets 6'!$G45:$K45))</f>
        <v>0.33333333333333331</v>
      </c>
      <c r="I45" s="60">
        <f>IF(SUMIF('regrets 6'!$G45:$K45, "&gt;0") &gt; 0, MAX('regrets 6'!I45, 0) / SUMIF('regrets 6'!$G45:$K45, "&gt;0"), 1 / COUNT('regrets 6'!$G45:$K45))</f>
        <v>0.33333333333333331</v>
      </c>
      <c r="J45" s="61"/>
      <c r="K45" s="90"/>
      <c r="L45" s="60">
        <f>IF(SUMIF('regrets 6'!$L45:$P45, "&gt;0") &gt; 0, MAX('regrets 6'!L45, 0) / SUMIF('regrets 6'!$L45:$P45, "&gt;0"), 1 / COUNT('regrets 6'!$L45:$P45))</f>
        <v>0.33333333333333331</v>
      </c>
      <c r="M45" s="60">
        <f>IF(SUMIF('regrets 6'!$L45:$P45, "&gt;0") &gt; 0, MAX('regrets 6'!M45, 0) / SUMIF('regrets 6'!$L45:$P45, "&gt;0"), 1 / COUNT('regrets 6'!$L45:$P45))</f>
        <v>0.33333333333333331</v>
      </c>
      <c r="N45" s="60">
        <f>IF(SUMIF('regrets 6'!$L45:$P45, "&gt;0") &gt; 0, MAX('regrets 6'!N45, 0) / SUMIF('regrets 6'!$L45:$P45, "&gt;0"), 1 / COUNT('regrets 6'!$L45:$P45))</f>
        <v>0.33333333333333331</v>
      </c>
      <c r="O45" s="61"/>
      <c r="P45" s="90"/>
      <c r="Q45" s="60">
        <f>IF(SUMIF('regrets 6'!$Q45:$U45, "&gt;0") &gt; 0, MAX('regrets 6'!Q45, 0) / SUMIF('regrets 6'!$Q45:$U45, "&gt;0"), 1 / COUNT('regrets 6'!$Q45:$U45))</f>
        <v>0.33333333333333331</v>
      </c>
      <c r="R45" s="60">
        <f>IF(SUMIF('regrets 6'!$Q45:$U45, "&gt;0") &gt; 0, MAX('regrets 6'!R45, 0) / SUMIF('regrets 6'!$Q45:$U45, "&gt;0"), 1 / COUNT('regrets 6'!$Q45:$U45))</f>
        <v>0.33333333333333331</v>
      </c>
      <c r="S45" s="60">
        <f>IF(SUMIF('regrets 6'!$Q45:$U45, "&gt;0") &gt; 0, MAX('regrets 6'!S45, 0) / SUMIF('regrets 6'!$Q45:$U45, "&gt;0"), 1 / COUNT('regrets 6'!$Q45:$U45))</f>
        <v>0.33333333333333331</v>
      </c>
      <c r="T45" s="61"/>
      <c r="U45" s="90"/>
    </row>
    <row r="46" spans="1:21" ht="20" customHeight="1" x14ac:dyDescent="0.15">
      <c r="A46" s="12">
        <v>5</v>
      </c>
      <c r="B46" s="61">
        <f>IF(SUMIF('regrets 6'!$B46:$F46, "&gt;0") &gt; 0, MAX('regrets 6'!B46, 0) / SUMIF('regrets 6'!$B46:$F46, "&gt;0"), 1 / COUNT('regrets 6'!$B46:$F46))</f>
        <v>0.5</v>
      </c>
      <c r="C46" s="61">
        <f>IF(SUMIF('regrets 6'!$B46:$F46, "&gt;0") &gt; 0, MAX('regrets 6'!C46, 0) / SUMIF('regrets 6'!$B46:$F46, "&gt;0"), 1 / COUNT('regrets 6'!$B46:$F46))</f>
        <v>0.5</v>
      </c>
      <c r="D46" s="61"/>
      <c r="E46" s="61"/>
      <c r="F46" s="90"/>
      <c r="G46" s="60">
        <f>IF(SUMIF('regrets 6'!$G46:$K46, "&gt;0") &gt; 0, MAX('regrets 6'!G46, 0) / SUMIF('regrets 6'!$G46:$K46, "&gt;0"), 1 / COUNT('regrets 6'!$G46:$K46))</f>
        <v>0.5</v>
      </c>
      <c r="H46" s="60">
        <f>IF(SUMIF('regrets 6'!$G46:$K46, "&gt;0") &gt; 0, MAX('regrets 6'!H46, 0) / SUMIF('regrets 6'!$G46:$K46, "&gt;0"), 1 / COUNT('regrets 6'!$G46:$K46))</f>
        <v>0.5</v>
      </c>
      <c r="I46" s="61"/>
      <c r="J46" s="61"/>
      <c r="K46" s="90"/>
      <c r="L46" s="60">
        <f>IF(SUMIF('regrets 6'!$L46:$P46, "&gt;0") &gt; 0, MAX('regrets 6'!L46, 0) / SUMIF('regrets 6'!$L46:$P46, "&gt;0"), 1 / COUNT('regrets 6'!$L46:$P46))</f>
        <v>0.5</v>
      </c>
      <c r="M46" s="60">
        <f>IF(SUMIF('regrets 6'!$L46:$P46, "&gt;0") &gt; 0, MAX('regrets 6'!M46, 0) / SUMIF('regrets 6'!$L46:$P46, "&gt;0"), 1 / COUNT('regrets 6'!$L46:$P46))</f>
        <v>0.5</v>
      </c>
      <c r="N46" s="61"/>
      <c r="O46" s="61"/>
      <c r="P46" s="90"/>
      <c r="Q46" s="60">
        <f>IF(SUMIF('regrets 6'!$Q46:$U46, "&gt;0") &gt; 0, MAX('regrets 6'!Q46, 0) / SUMIF('regrets 6'!$Q46:$U46, "&gt;0"), 1 / COUNT('regrets 6'!$Q46:$U46))</f>
        <v>0.5</v>
      </c>
      <c r="R46" s="60">
        <f>IF(SUMIF('regrets 6'!$Q46:$U46, "&gt;0") &gt; 0, MAX('regrets 6'!R46, 0) / SUMIF('regrets 6'!$Q46:$U46, "&gt;0"), 1 / COUNT('regrets 6'!$Q46:$U46))</f>
        <v>0.5</v>
      </c>
      <c r="S46" s="61"/>
      <c r="T46" s="61"/>
      <c r="U46" s="90"/>
    </row>
    <row r="47" spans="1:21" ht="20" customHeight="1" x14ac:dyDescent="0.15">
      <c r="A47" s="12">
        <v>6</v>
      </c>
      <c r="B47" s="61">
        <f>IF(SUMIF('regrets 6'!$B47:$F47, "&gt;0") &gt; 0, MAX('regrets 6'!B47, 0) / SUMIF('regrets 6'!$B47:$F47, "&gt;0"), 1 / COUNT('regrets 6'!$B47:$F47))</f>
        <v>0.33333333333333331</v>
      </c>
      <c r="C47" s="61">
        <f>IF(SUMIF('regrets 6'!$B47:$F47, "&gt;0") &gt; 0, MAX('regrets 6'!C47, 0) / SUMIF('regrets 6'!$B47:$F47, "&gt;0"), 1 / COUNT('regrets 6'!$B47:$F47))</f>
        <v>0.33333333333333331</v>
      </c>
      <c r="D47" s="61">
        <f>IF(SUMIF('regrets 6'!$B47:$F47, "&gt;0") &gt; 0, MAX('regrets 6'!D47, 0) / SUMIF('regrets 6'!$B47:$F47, "&gt;0"), 1 / COUNT('regrets 6'!$B47:$F47))</f>
        <v>0.33333333333333331</v>
      </c>
      <c r="E47" s="61"/>
      <c r="F47" s="90"/>
      <c r="G47" s="60">
        <f>IF(SUMIF('regrets 6'!$G47:$K47, "&gt;0") &gt; 0, MAX('regrets 6'!G47, 0) / SUMIF('regrets 6'!$G47:$K47, "&gt;0"), 1 / COUNT('regrets 6'!$G47:$K47))</f>
        <v>0.33333333333333331</v>
      </c>
      <c r="H47" s="60">
        <f>IF(SUMIF('regrets 6'!$G47:$K47, "&gt;0") &gt; 0, MAX('regrets 6'!H47, 0) / SUMIF('regrets 6'!$G47:$K47, "&gt;0"), 1 / COUNT('regrets 6'!$G47:$K47))</f>
        <v>0.33333333333333331</v>
      </c>
      <c r="I47" s="60">
        <f>IF(SUMIF('regrets 6'!$G47:$K47, "&gt;0") &gt; 0, MAX('regrets 6'!I47, 0) / SUMIF('regrets 6'!$G47:$K47, "&gt;0"), 1 / COUNT('regrets 6'!$G47:$K47))</f>
        <v>0.33333333333333331</v>
      </c>
      <c r="J47" s="61"/>
      <c r="K47" s="90"/>
      <c r="L47" s="60">
        <f>IF(SUMIF('regrets 6'!$L47:$P47, "&gt;0") &gt; 0, MAX('regrets 6'!L47, 0) / SUMIF('regrets 6'!$L47:$P47, "&gt;0"), 1 / COUNT('regrets 6'!$L47:$P47))</f>
        <v>0.33333333333333331</v>
      </c>
      <c r="M47" s="60">
        <f>IF(SUMIF('regrets 6'!$L47:$P47, "&gt;0") &gt; 0, MAX('regrets 6'!M47, 0) / SUMIF('regrets 6'!$L47:$P47, "&gt;0"), 1 / COUNT('regrets 6'!$L47:$P47))</f>
        <v>0.33333333333333331</v>
      </c>
      <c r="N47" s="60">
        <f>IF(SUMIF('regrets 6'!$L47:$P47, "&gt;0") &gt; 0, MAX('regrets 6'!N47, 0) / SUMIF('regrets 6'!$L47:$P47, "&gt;0"), 1 / COUNT('regrets 6'!$L47:$P47))</f>
        <v>0.33333333333333331</v>
      </c>
      <c r="O47" s="61"/>
      <c r="P47" s="90"/>
      <c r="Q47" s="60">
        <f>IF(SUMIF('regrets 6'!$Q47:$U47, "&gt;0") &gt; 0, MAX('regrets 6'!Q47, 0) / SUMIF('regrets 6'!$Q47:$U47, "&gt;0"), 1 / COUNT('regrets 6'!$Q47:$U47))</f>
        <v>0.33333333333333331</v>
      </c>
      <c r="R47" s="60">
        <f>IF(SUMIF('regrets 6'!$Q47:$U47, "&gt;0") &gt; 0, MAX('regrets 6'!R47, 0) / SUMIF('regrets 6'!$Q47:$U47, "&gt;0"), 1 / COUNT('regrets 6'!$Q47:$U47))</f>
        <v>0.33333333333333331</v>
      </c>
      <c r="S47" s="60">
        <f>IF(SUMIF('regrets 6'!$Q47:$U47, "&gt;0") &gt; 0, MAX('regrets 6'!S47, 0) / SUMIF('regrets 6'!$Q47:$U47, "&gt;0"), 1 / COUNT('regrets 6'!$Q47:$U47))</f>
        <v>0.33333333333333331</v>
      </c>
      <c r="T47" s="61"/>
      <c r="U47" s="90"/>
    </row>
    <row r="48" spans="1:21" ht="20" customHeight="1" x14ac:dyDescent="0.15">
      <c r="A48" s="12">
        <v>7</v>
      </c>
      <c r="B48" s="61">
        <f>IF(SUMIF('regrets 6'!$B48:$F48, "&gt;0") &gt; 0, MAX('regrets 6'!B48, 0) / SUMIF('regrets 6'!$B48:$F48, "&gt;0"), 1 / COUNT('regrets 6'!$B48:$F48))</f>
        <v>0.5</v>
      </c>
      <c r="C48" s="61">
        <f>IF(SUMIF('regrets 6'!$B48:$F48, "&gt;0") &gt; 0, MAX('regrets 6'!C48, 0) / SUMIF('regrets 6'!$B48:$F48, "&gt;0"), 1 / COUNT('regrets 6'!$B48:$F48))</f>
        <v>0.5</v>
      </c>
      <c r="D48" s="61"/>
      <c r="E48" s="61"/>
      <c r="F48" s="90"/>
      <c r="G48" s="60">
        <f>IF(SUMIF('regrets 6'!$G48:$K48, "&gt;0") &gt; 0, MAX('regrets 6'!G48, 0) / SUMIF('regrets 6'!$G48:$K48, "&gt;0"), 1 / COUNT('regrets 6'!$G48:$K48))</f>
        <v>0.5</v>
      </c>
      <c r="H48" s="60">
        <f>IF(SUMIF('regrets 6'!$G48:$K48, "&gt;0") &gt; 0, MAX('regrets 6'!H48, 0) / SUMIF('regrets 6'!$G48:$K48, "&gt;0"), 1 / COUNT('regrets 6'!$G48:$K48))</f>
        <v>0.5</v>
      </c>
      <c r="I48" s="61"/>
      <c r="J48" s="61"/>
      <c r="K48" s="90"/>
      <c r="L48" s="60">
        <f>IF(SUMIF('regrets 6'!$L48:$P48, "&gt;0") &gt; 0, MAX('regrets 6'!L48, 0) / SUMIF('regrets 6'!$L48:$P48, "&gt;0"), 1 / COUNT('regrets 6'!$L48:$P48))</f>
        <v>0.5</v>
      </c>
      <c r="M48" s="60">
        <f>IF(SUMIF('regrets 6'!$L48:$P48, "&gt;0") &gt; 0, MAX('regrets 6'!M48, 0) / SUMIF('regrets 6'!$L48:$P48, "&gt;0"), 1 / COUNT('regrets 6'!$L48:$P48))</f>
        <v>0.5</v>
      </c>
      <c r="N48" s="61"/>
      <c r="O48" s="61"/>
      <c r="P48" s="90"/>
      <c r="Q48" s="60">
        <f>IF(SUMIF('regrets 6'!$Q48:$U48, "&gt;0") &gt; 0, MAX('regrets 6'!Q48, 0) / SUMIF('regrets 6'!$Q48:$U48, "&gt;0"), 1 / COUNT('regrets 6'!$Q48:$U48))</f>
        <v>0.5</v>
      </c>
      <c r="R48" s="60">
        <f>IF(SUMIF('regrets 6'!$Q48:$U48, "&gt;0") &gt; 0, MAX('regrets 6'!R48, 0) / SUMIF('regrets 6'!$Q48:$U48, "&gt;0"), 1 / COUNT('regrets 6'!$Q48:$U48))</f>
        <v>0.5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f>IF(SUMIF('regrets 6'!$B49:$F49, "&gt;0") &gt; 0, MAX('regrets 6'!C49, 0) / SUMIF('regrets 6'!$B49:$F49, "&gt;0"), 1 / COUNT('regrets 6'!$B49:$F49))</f>
        <v>0.33333333333333331</v>
      </c>
      <c r="D49" s="61">
        <f>IF(SUMIF('regrets 6'!$B49:$F49, "&gt;0") &gt; 0, MAX('regrets 6'!D49, 0) / SUMIF('regrets 6'!$B49:$F49, "&gt;0"), 1 / COUNT('regrets 6'!$B49:$F49))</f>
        <v>0.33333333333333331</v>
      </c>
      <c r="E49" s="61">
        <f>IF(SUMIF('regrets 6'!$B49:$F49, "&gt;0") &gt; 0, MAX('regrets 6'!E49, 0) / SUMIF('regrets 6'!$B49:$F49, "&gt;0"), 1 / COUNT('regrets 6'!$B49:$F49))</f>
        <v>0.33333333333333331</v>
      </c>
      <c r="F49" s="90"/>
      <c r="G49" s="60"/>
      <c r="H49" s="60">
        <f>IF(SUMIF('regrets 6'!$G49:$K49, "&gt;0") &gt; 0, MAX('regrets 6'!H49, 0) / SUMIF('regrets 6'!$G49:$K49, "&gt;0"), 1 / COUNT('regrets 6'!$G49:$K49))</f>
        <v>0</v>
      </c>
      <c r="I49" s="60">
        <f>IF(SUMIF('regrets 6'!$G49:$K49, "&gt;0") &gt; 0, MAX('regrets 6'!I49, 0) / SUMIF('regrets 6'!$G49:$K49, "&gt;0"), 1 / COUNT('regrets 6'!$G49:$K49))</f>
        <v>0.53886815920398012</v>
      </c>
      <c r="J49" s="60">
        <f>IF(SUMIF('regrets 6'!$G49:$K49, "&gt;0") &gt; 0, MAX('regrets 6'!J49, 0) / SUMIF('regrets 6'!$G49:$K49, "&gt;0"), 1 / COUNT('regrets 6'!$G49:$K49))</f>
        <v>0.46113184079601988</v>
      </c>
      <c r="K49" s="90"/>
      <c r="L49" s="60"/>
      <c r="M49" s="60">
        <f>IF(SUMIF('regrets 6'!$L49:$P49, "&gt;0") &gt; 0, MAX('regrets 6'!M49, 0) / SUMIF('regrets 6'!$L49:$P49, "&gt;0"), 1 / COUNT('regrets 6'!$L49:$P49))</f>
        <v>0.33333333333333331</v>
      </c>
      <c r="N49" s="60">
        <f>IF(SUMIF('regrets 6'!$L49:$P49, "&gt;0") &gt; 0, MAX('regrets 6'!N49, 0) / SUMIF('regrets 6'!$L49:$P49, "&gt;0"), 1 / COUNT('regrets 6'!$L49:$P49))</f>
        <v>0.33333333333333331</v>
      </c>
      <c r="O49" s="60">
        <f>IF(SUMIF('regrets 6'!$L49:$P49, "&gt;0") &gt; 0, MAX('regrets 6'!O49, 0) / SUMIF('regrets 6'!$L49:$P49, "&gt;0"), 1 / COUNT('regrets 6'!$L49:$P49))</f>
        <v>0.33333333333333331</v>
      </c>
      <c r="P49" s="90"/>
      <c r="Q49" s="60"/>
      <c r="R49" s="60">
        <f>IF(SUMIF('regrets 6'!$Q49:$U49, "&gt;0") &gt; 0, MAX('regrets 6'!R49, 0) / SUMIF('regrets 6'!$Q49:$U49, "&gt;0"), 1 / COUNT('regrets 6'!$Q49:$U49))</f>
        <v>0.33333333333333331</v>
      </c>
      <c r="S49" s="60">
        <f>IF(SUMIF('regrets 6'!$Q49:$U49, "&gt;0") &gt; 0, MAX('regrets 6'!S49, 0) / SUMIF('regrets 6'!$Q49:$U49, "&gt;0"), 1 / COUNT('regrets 6'!$Q49:$U49))</f>
        <v>0.33333333333333331</v>
      </c>
      <c r="T49" s="60">
        <f>IF(SUMIF('regrets 6'!$Q49:$U49, "&gt;0") &gt; 0, MAX('regrets 6'!T49, 0) / SUMIF('regrets 6'!$Q49:$U49, "&gt;0"), 1 / COUNT('regrets 6'!$Q49:$U49))</f>
        <v>0.33333333333333331</v>
      </c>
      <c r="U49" s="90"/>
    </row>
    <row r="50" spans="1:21" ht="20" customHeight="1" x14ac:dyDescent="0.15">
      <c r="A50" s="12">
        <v>9</v>
      </c>
      <c r="B50" s="61">
        <f>IF(SUMIF('regrets 6'!$B50:$F50, "&gt;0") &gt; 0, MAX('regrets 6'!B50, 0) / SUMIF('regrets 6'!$B50:$F50, "&gt;0"), 1 / COUNT('regrets 6'!$B50:$F50))</f>
        <v>0.5</v>
      </c>
      <c r="C50" s="61">
        <f>IF(SUMIF('regrets 6'!$B50:$F50, "&gt;0") &gt; 0, MAX('regrets 6'!C50, 0) / SUMIF('regrets 6'!$B50:$F50, "&gt;0"), 1 / COUNT('regrets 6'!$B50:$F50))</f>
        <v>0.5</v>
      </c>
      <c r="D50" s="61"/>
      <c r="E50" s="61"/>
      <c r="F50" s="90"/>
      <c r="G50" s="60">
        <f>IF(SUMIF('regrets 6'!$G50:$K50, "&gt;0") &gt; 0, MAX('regrets 6'!G50, 0) / SUMIF('regrets 6'!$G50:$K50, "&gt;0"), 1 / COUNT('regrets 6'!$G50:$K50))</f>
        <v>0.5</v>
      </c>
      <c r="H50" s="60">
        <f>IF(SUMIF('regrets 6'!$G50:$K50, "&gt;0") &gt; 0, MAX('regrets 6'!H50, 0) / SUMIF('regrets 6'!$G50:$K50, "&gt;0"), 1 / COUNT('regrets 6'!$G50:$K50))</f>
        <v>0.5</v>
      </c>
      <c r="I50" s="61"/>
      <c r="J50" s="61"/>
      <c r="K50" s="90"/>
      <c r="L50" s="60">
        <f>IF(SUMIF('regrets 6'!$L50:$P50, "&gt;0") &gt; 0, MAX('regrets 6'!L50, 0) / SUMIF('regrets 6'!$L50:$P50, "&gt;0"), 1 / COUNT('regrets 6'!$L50:$P50))</f>
        <v>0.5</v>
      </c>
      <c r="M50" s="60">
        <f>IF(SUMIF('regrets 6'!$L50:$P50, "&gt;0") &gt; 0, MAX('regrets 6'!M50, 0) / SUMIF('regrets 6'!$L50:$P50, "&gt;0"), 1 / COUNT('regrets 6'!$L50:$P50))</f>
        <v>0.5</v>
      </c>
      <c r="N50" s="61"/>
      <c r="O50" s="61"/>
      <c r="P50" s="90"/>
      <c r="Q50" s="60">
        <f>IF(SUMIF('regrets 6'!$Q50:$U50, "&gt;0") &gt; 0, MAX('regrets 6'!Q50, 0) / SUMIF('regrets 6'!$Q50:$U50, "&gt;0"), 1 / COUNT('regrets 6'!$Q50:$U50))</f>
        <v>0.5</v>
      </c>
      <c r="R50" s="60">
        <f>IF(SUMIF('regrets 6'!$Q50:$U50, "&gt;0") &gt; 0, MAX('regrets 6'!R50, 0) / SUMIF('regrets 6'!$Q50:$U50, "&gt;0"), 1 / COUNT('regrets 6'!$Q50:$U50))</f>
        <v>0.5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f>IF(SUMIF('regrets 6'!$B51:$F51, "&gt;0") &gt; 0, MAX('regrets 6'!C51, 0) / SUMIF('regrets 6'!$B51:$F51, "&gt;0"), 1 / COUNT('regrets 6'!$B51:$F51))</f>
        <v>0.33333333333333331</v>
      </c>
      <c r="D51" s="61">
        <f>IF(SUMIF('regrets 6'!$B51:$F51, "&gt;0") &gt; 0, MAX('regrets 6'!D51, 0) / SUMIF('regrets 6'!$B51:$F51, "&gt;0"), 1 / COUNT('regrets 6'!$B51:$F51))</f>
        <v>0.33333333333333331</v>
      </c>
      <c r="E51" s="61">
        <f>IF(SUMIF('regrets 6'!$B51:$F51, "&gt;0") &gt; 0, MAX('regrets 6'!E51, 0) / SUMIF('regrets 6'!$B51:$F51, "&gt;0"), 1 / COUNT('regrets 6'!$B51:$F51))</f>
        <v>0.33333333333333331</v>
      </c>
      <c r="F51" s="90"/>
      <c r="G51" s="60"/>
      <c r="H51" s="60">
        <f>IF(SUMIF('regrets 6'!$G51:$K51, "&gt;0") &gt; 0, MAX('regrets 6'!H51, 0) / SUMIF('regrets 6'!$G51:$K51, "&gt;0"), 1 / COUNT('regrets 6'!$G51:$K51))</f>
        <v>0.33333333333333331</v>
      </c>
      <c r="I51" s="60">
        <f>IF(SUMIF('regrets 6'!$G51:$K51, "&gt;0") &gt; 0, MAX('regrets 6'!I51, 0) / SUMIF('regrets 6'!$G51:$K51, "&gt;0"), 1 / COUNT('regrets 6'!$G51:$K51))</f>
        <v>0.33333333333333331</v>
      </c>
      <c r="J51" s="60">
        <f>IF(SUMIF('regrets 6'!$G51:$K51, "&gt;0") &gt; 0, MAX('regrets 6'!J51, 0) / SUMIF('regrets 6'!$G51:$K51, "&gt;0"), 1 / COUNT('regrets 6'!$G51:$K51))</f>
        <v>0.33333333333333331</v>
      </c>
      <c r="K51" s="90"/>
      <c r="L51" s="60"/>
      <c r="M51" s="60">
        <f>IF(SUMIF('regrets 6'!$L51:$P51, "&gt;0") &gt; 0, MAX('regrets 6'!M51, 0) / SUMIF('regrets 6'!$L51:$P51, "&gt;0"), 1 / COUNT('regrets 6'!$L51:$P51))</f>
        <v>0.33333333333333331</v>
      </c>
      <c r="N51" s="60">
        <f>IF(SUMIF('regrets 6'!$L51:$P51, "&gt;0") &gt; 0, MAX('regrets 6'!N51, 0) / SUMIF('regrets 6'!$L51:$P51, "&gt;0"), 1 / COUNT('regrets 6'!$L51:$P51))</f>
        <v>0.33333333333333331</v>
      </c>
      <c r="O51" s="60">
        <f>IF(SUMIF('regrets 6'!$L51:$P51, "&gt;0") &gt; 0, MAX('regrets 6'!O51, 0) / SUMIF('regrets 6'!$L51:$P51, "&gt;0"), 1 / COUNT('regrets 6'!$L51:$P51))</f>
        <v>0.33333333333333331</v>
      </c>
      <c r="P51" s="90"/>
      <c r="Q51" s="60"/>
      <c r="R51" s="60">
        <f>IF(SUMIF('regrets 6'!$Q51:$U51, "&gt;0") &gt; 0, MAX('regrets 6'!R51, 0) / SUMIF('regrets 6'!$Q51:$U51, "&gt;0"), 1 / COUNT('regrets 6'!$Q51:$U51))</f>
        <v>0.33333333333333331</v>
      </c>
      <c r="S51" s="60">
        <f>IF(SUMIF('regrets 6'!$Q51:$U51, "&gt;0") &gt; 0, MAX('regrets 6'!S51, 0) / SUMIF('regrets 6'!$Q51:$U51, "&gt;0"), 1 / COUNT('regrets 6'!$Q51:$U51))</f>
        <v>0.33333333333333331</v>
      </c>
      <c r="T51" s="60">
        <f>IF(SUMIF('regrets 6'!$Q51:$U51, "&gt;0") &gt; 0, MAX('regrets 6'!T51, 0) / SUMIF('regrets 6'!$Q51:$U51, "&gt;0"), 1 / COUNT('regrets 6'!$Q51:$U51))</f>
        <v>0.33333333333333331</v>
      </c>
      <c r="U51" s="90"/>
    </row>
    <row r="52" spans="1:21" ht="20" customHeight="1" x14ac:dyDescent="0.15">
      <c r="A52" s="12">
        <v>11</v>
      </c>
      <c r="B52" s="61">
        <f>IF(SUMIF('regrets 6'!$B52:$F52, "&gt;0") &gt; 0, MAX('regrets 6'!B52, 0) / SUMIF('regrets 6'!$B52:$F52, "&gt;0"), 1 / COUNT('regrets 6'!$B52:$F52))</f>
        <v>0.5</v>
      </c>
      <c r="C52" s="61">
        <f>IF(SUMIF('regrets 6'!$B52:$F52, "&gt;0") &gt; 0, MAX('regrets 6'!C52, 0) / SUMIF('regrets 6'!$B52:$F52, "&gt;0"), 1 / COUNT('regrets 6'!$B52:$F52))</f>
        <v>0.5</v>
      </c>
      <c r="D52" s="61"/>
      <c r="E52" s="61"/>
      <c r="F52" s="90"/>
      <c r="G52" s="60">
        <f>IF(SUMIF('regrets 6'!$G52:$K52, "&gt;0") &gt; 0, MAX('regrets 6'!G52, 0) / SUMIF('regrets 6'!$G52:$K52, "&gt;0"), 1 / COUNT('regrets 6'!$G52:$K52))</f>
        <v>0.5</v>
      </c>
      <c r="H52" s="60">
        <f>IF(SUMIF('regrets 6'!$G52:$K52, "&gt;0") &gt; 0, MAX('regrets 6'!H52, 0) / SUMIF('regrets 6'!$G52:$K52, "&gt;0"), 1 / COUNT('regrets 6'!$G52:$K52))</f>
        <v>0.5</v>
      </c>
      <c r="I52" s="61"/>
      <c r="J52" s="61"/>
      <c r="K52" s="90"/>
      <c r="L52" s="60">
        <f>IF(SUMIF('regrets 6'!$L52:$P52, "&gt;0") &gt; 0, MAX('regrets 6'!L52, 0) / SUMIF('regrets 6'!$L52:$P52, "&gt;0"), 1 / COUNT('regrets 6'!$L52:$P52))</f>
        <v>0.5</v>
      </c>
      <c r="M52" s="60">
        <f>IF(SUMIF('regrets 6'!$L52:$P52, "&gt;0") &gt; 0, MAX('regrets 6'!M52, 0) / SUMIF('regrets 6'!$L52:$P52, "&gt;0"), 1 / COUNT('regrets 6'!$L52:$P52))</f>
        <v>0.5</v>
      </c>
      <c r="N52" s="61"/>
      <c r="O52" s="61"/>
      <c r="P52" s="90"/>
      <c r="Q52" s="60">
        <f>IF(SUMIF('regrets 6'!$Q52:$U52, "&gt;0") &gt; 0, MAX('regrets 6'!Q52, 0) / SUMIF('regrets 6'!$Q52:$U52, "&gt;0"), 1 / COUNT('regrets 6'!$Q52:$U52))</f>
        <v>0.5</v>
      </c>
      <c r="R52" s="60">
        <f>IF(SUMIF('regrets 6'!$Q52:$U52, "&gt;0") &gt; 0, MAX('regrets 6'!R52, 0) / SUMIF('regrets 6'!$Q52:$U52, "&gt;0"), 1 / COUNT('regrets 6'!$Q52:$U52))</f>
        <v>0.5</v>
      </c>
      <c r="S52" s="61"/>
      <c r="T52" s="61"/>
      <c r="U52" s="90"/>
    </row>
    <row r="53" spans="1:21" ht="20" customHeight="1" x14ac:dyDescent="0.15">
      <c r="A53" s="12">
        <v>12</v>
      </c>
      <c r="B53" s="61">
        <f>IF(SUMIF('regrets 6'!$B53:$F53, "&gt;0") &gt; 0, MAX('regrets 6'!B53, 0) / SUMIF('regrets 6'!$B53:$F53, "&gt;0"), 1 / COUNT('regrets 6'!$B53:$F53))</f>
        <v>0.33333333333333331</v>
      </c>
      <c r="C53" s="61">
        <f>IF(SUMIF('regrets 6'!$B53:$F53, "&gt;0") &gt; 0, MAX('regrets 6'!C53, 0) / SUMIF('regrets 6'!$B53:$F53, "&gt;0"), 1 / COUNT('regrets 6'!$B53:$F53))</f>
        <v>0.33333333333333331</v>
      </c>
      <c r="D53" s="61">
        <f>IF(SUMIF('regrets 6'!$B53:$F53, "&gt;0") &gt; 0, MAX('regrets 6'!D53, 0) / SUMIF('regrets 6'!$B53:$F53, "&gt;0"), 1 / COUNT('regrets 6'!$B53:$F53))</f>
        <v>0.33333333333333331</v>
      </c>
      <c r="E53" s="61"/>
      <c r="F53" s="90"/>
      <c r="G53" s="60">
        <f>IF(SUMIF('regrets 6'!$G53:$K53, "&gt;0") &gt; 0, MAX('regrets 6'!G53, 0) / SUMIF('regrets 6'!$G53:$K53, "&gt;0"), 1 / COUNT('regrets 6'!$G53:$K53))</f>
        <v>0.33333333333333331</v>
      </c>
      <c r="H53" s="60">
        <f>IF(SUMIF('regrets 6'!$G53:$K53, "&gt;0") &gt; 0, MAX('regrets 6'!H53, 0) / SUMIF('regrets 6'!$G53:$K53, "&gt;0"), 1 / COUNT('regrets 6'!$G53:$K53))</f>
        <v>0.33333333333333331</v>
      </c>
      <c r="I53" s="60">
        <f>IF(SUMIF('regrets 6'!$G53:$K53, "&gt;0") &gt; 0, MAX('regrets 6'!I53, 0) / SUMIF('regrets 6'!$G53:$K53, "&gt;0"), 1 / COUNT('regrets 6'!$G53:$K53))</f>
        <v>0.33333333333333331</v>
      </c>
      <c r="J53" s="61"/>
      <c r="K53" s="90"/>
      <c r="L53" s="60">
        <f>IF(SUMIF('regrets 6'!$L53:$P53, "&gt;0") &gt; 0, MAX('regrets 6'!L53, 0) / SUMIF('regrets 6'!$L53:$P53, "&gt;0"), 1 / COUNT('regrets 6'!$L53:$P53))</f>
        <v>0.33333333333333331</v>
      </c>
      <c r="M53" s="60">
        <f>IF(SUMIF('regrets 6'!$L53:$P53, "&gt;0") &gt; 0, MAX('regrets 6'!M53, 0) / SUMIF('regrets 6'!$L53:$P53, "&gt;0"), 1 / COUNT('regrets 6'!$L53:$P53))</f>
        <v>0.33333333333333331</v>
      </c>
      <c r="N53" s="60">
        <f>IF(SUMIF('regrets 6'!$L53:$P53, "&gt;0") &gt; 0, MAX('regrets 6'!N53, 0) / SUMIF('regrets 6'!$L53:$P53, "&gt;0"), 1 / COUNT('regrets 6'!$L53:$P53))</f>
        <v>0.33333333333333331</v>
      </c>
      <c r="O53" s="61"/>
      <c r="P53" s="90"/>
      <c r="Q53" s="60">
        <f>IF(SUMIF('regrets 6'!$Q53:$U53, "&gt;0") &gt; 0, MAX('regrets 6'!Q53, 0) / SUMIF('regrets 6'!$Q53:$U53, "&gt;0"), 1 / COUNT('regrets 6'!$Q53:$U53))</f>
        <v>0.33333333333333331</v>
      </c>
      <c r="R53" s="60">
        <f>IF(SUMIF('regrets 6'!$Q53:$U53, "&gt;0") &gt; 0, MAX('regrets 6'!R53, 0) / SUMIF('regrets 6'!$Q53:$U53, "&gt;0"), 1 / COUNT('regrets 6'!$Q53:$U53))</f>
        <v>0.33333333333333331</v>
      </c>
      <c r="S53" s="60">
        <f>IF(SUMIF('regrets 6'!$Q53:$U53, "&gt;0") &gt; 0, MAX('regrets 6'!S53, 0) / SUMIF('regrets 6'!$Q53:$U53, "&gt;0"), 1 / COUNT('regrets 6'!$Q53:$U53))</f>
        <v>0.33333333333333331</v>
      </c>
      <c r="T53" s="61"/>
      <c r="U53" s="90"/>
    </row>
    <row r="54" spans="1:21" ht="20" customHeight="1" x14ac:dyDescent="0.15">
      <c r="A54" s="12">
        <v>13</v>
      </c>
      <c r="B54" s="61">
        <f>IF(SUMIF('regrets 6'!$B54:$F54, "&gt;0") &gt; 0, MAX('regrets 6'!B54, 0) / SUMIF('regrets 6'!$B54:$F54, "&gt;0"), 1 / COUNT('regrets 6'!$B54:$F54))</f>
        <v>0.5</v>
      </c>
      <c r="C54" s="61">
        <f>IF(SUMIF('regrets 6'!$B54:$F54, "&gt;0") &gt; 0, MAX('regrets 6'!C54, 0) / SUMIF('regrets 6'!$B54:$F54, "&gt;0"), 1 / COUNT('regrets 6'!$B54:$F54))</f>
        <v>0.5</v>
      </c>
      <c r="D54" s="61"/>
      <c r="E54" s="61"/>
      <c r="F54" s="90"/>
      <c r="G54" s="60">
        <f>IF(SUMIF('regrets 6'!$G54:$K54, "&gt;0") &gt; 0, MAX('regrets 6'!G54, 0) / SUMIF('regrets 6'!$G54:$K54, "&gt;0"), 1 / COUNT('regrets 6'!$G54:$K54))</f>
        <v>0.5</v>
      </c>
      <c r="H54" s="60">
        <f>IF(SUMIF('regrets 6'!$G54:$K54, "&gt;0") &gt; 0, MAX('regrets 6'!H54, 0) / SUMIF('regrets 6'!$G54:$K54, "&gt;0"), 1 / COUNT('regrets 6'!$G54:$K54))</f>
        <v>0.5</v>
      </c>
      <c r="I54" s="61"/>
      <c r="J54" s="61"/>
      <c r="K54" s="90"/>
      <c r="L54" s="60">
        <f>IF(SUMIF('regrets 6'!$L54:$P54, "&gt;0") &gt; 0, MAX('regrets 6'!L54, 0) / SUMIF('regrets 6'!$L54:$P54, "&gt;0"), 1 / COUNT('regrets 6'!$L54:$P54))</f>
        <v>0.5</v>
      </c>
      <c r="M54" s="60">
        <f>IF(SUMIF('regrets 6'!$L54:$P54, "&gt;0") &gt; 0, MAX('regrets 6'!M54, 0) / SUMIF('regrets 6'!$L54:$P54, "&gt;0"), 1 / COUNT('regrets 6'!$L54:$P54))</f>
        <v>0.5</v>
      </c>
      <c r="N54" s="61"/>
      <c r="O54" s="61"/>
      <c r="P54" s="90"/>
      <c r="Q54" s="60">
        <f>IF(SUMIF('regrets 6'!$Q54:$U54, "&gt;0") &gt; 0, MAX('regrets 6'!Q54, 0) / SUMIF('regrets 6'!$Q54:$U54, "&gt;0"), 1 / COUNT('regrets 6'!$Q54:$U54))</f>
        <v>0.5</v>
      </c>
      <c r="R54" s="60">
        <f>IF(SUMIF('regrets 6'!$Q54:$U54, "&gt;0") &gt; 0, MAX('regrets 6'!R54, 0) / SUMIF('regrets 6'!$Q54:$U54, "&gt;0"), 1 / COUNT('regrets 6'!$Q54:$U54))</f>
        <v>0.5</v>
      </c>
      <c r="S54" s="61"/>
      <c r="T54" s="61"/>
      <c r="U54" s="90"/>
    </row>
    <row r="55" spans="1:21" ht="20" customHeight="1" x14ac:dyDescent="0.15">
      <c r="A55" s="12">
        <v>14</v>
      </c>
      <c r="B55" s="61">
        <f>IF(SUMIF('regrets 6'!$B55:$F55, "&gt;0") &gt; 0, MAX('regrets 6'!B55, 0) / SUMIF('regrets 6'!$B55:$F55, "&gt;0"), 1 / COUNT('regrets 6'!$B55:$F55))</f>
        <v>0</v>
      </c>
      <c r="C55" s="61">
        <f>IF(SUMIF('regrets 6'!$B55:$F55, "&gt;0") &gt; 0, MAX('regrets 6'!C55, 0) / SUMIF('regrets 6'!$B55:$F55, "&gt;0"), 1 / COUNT('regrets 6'!$B55:$F55))</f>
        <v>1</v>
      </c>
      <c r="D55" s="61">
        <f>IF(SUMIF('regrets 6'!$B55:$F55, "&gt;0") &gt; 0, MAX('regrets 6'!D55, 0) / SUMIF('regrets 6'!$B55:$F55, "&gt;0"), 1 / COUNT('regrets 6'!$B55:$F55))</f>
        <v>0</v>
      </c>
      <c r="E55" s="61"/>
      <c r="F55" s="90"/>
      <c r="G55" s="60">
        <f>IF(SUMIF('regrets 6'!$G55:$K55, "&gt;0") &gt; 0, MAX('regrets 6'!G55, 0) / SUMIF('regrets 6'!$G55:$K55, "&gt;0"), 1 / COUNT('regrets 6'!$G55:$K55))</f>
        <v>0.33333333333333331</v>
      </c>
      <c r="H55" s="60">
        <f>IF(SUMIF('regrets 6'!$G55:$K55, "&gt;0") &gt; 0, MAX('regrets 6'!H55, 0) / SUMIF('regrets 6'!$G55:$K55, "&gt;0"), 1 / COUNT('regrets 6'!$G55:$K55))</f>
        <v>0.33333333333333331</v>
      </c>
      <c r="I55" s="60">
        <f>IF(SUMIF('regrets 6'!$G55:$K55, "&gt;0") &gt; 0, MAX('regrets 6'!I55, 0) / SUMIF('regrets 6'!$G55:$K55, "&gt;0"), 1 / COUNT('regrets 6'!$G55:$K55))</f>
        <v>0.33333333333333331</v>
      </c>
      <c r="J55" s="61"/>
      <c r="K55" s="90"/>
      <c r="L55" s="60">
        <f>IF(SUMIF('regrets 6'!$L55:$P55, "&gt;0") &gt; 0, MAX('regrets 6'!L55, 0) / SUMIF('regrets 6'!$L55:$P55, "&gt;0"), 1 / COUNT('regrets 6'!$L55:$P55))</f>
        <v>0.33333333333333331</v>
      </c>
      <c r="M55" s="60">
        <f>IF(SUMIF('regrets 6'!$L55:$P55, "&gt;0") &gt; 0, MAX('regrets 6'!M55, 0) / SUMIF('regrets 6'!$L55:$P55, "&gt;0"), 1 / COUNT('regrets 6'!$L55:$P55))</f>
        <v>0.33333333333333331</v>
      </c>
      <c r="N55" s="60">
        <f>IF(SUMIF('regrets 6'!$L55:$P55, "&gt;0") &gt; 0, MAX('regrets 6'!N55, 0) / SUMIF('regrets 6'!$L55:$P55, "&gt;0"), 1 / COUNT('regrets 6'!$L55:$P55))</f>
        <v>0.33333333333333331</v>
      </c>
      <c r="O55" s="61"/>
      <c r="P55" s="90"/>
      <c r="Q55" s="60">
        <f>IF(SUMIF('regrets 6'!$Q55:$U55, "&gt;0") &gt; 0, MAX('regrets 6'!Q55, 0) / SUMIF('regrets 6'!$Q55:$U55, "&gt;0"), 1 / COUNT('regrets 6'!$Q55:$U55))</f>
        <v>0.33333333333333331</v>
      </c>
      <c r="R55" s="60">
        <f>IF(SUMIF('regrets 6'!$Q55:$U55, "&gt;0") &gt; 0, MAX('regrets 6'!R55, 0) / SUMIF('regrets 6'!$Q55:$U55, "&gt;0"), 1 / COUNT('regrets 6'!$Q55:$U55))</f>
        <v>0.33333333333333331</v>
      </c>
      <c r="S55" s="60">
        <f>IF(SUMIF('regrets 6'!$Q55:$U55, "&gt;0") &gt; 0, MAX('regrets 6'!S55, 0) / SUMIF('regrets 6'!$Q55:$U55, "&gt;0"), 1 / COUNT('regrets 6'!$Q55:$U55))</f>
        <v>0.33333333333333331</v>
      </c>
      <c r="T55" s="61"/>
      <c r="U55" s="90"/>
    </row>
    <row r="56" spans="1:21" ht="20" customHeight="1" x14ac:dyDescent="0.15">
      <c r="A56" s="12">
        <v>15</v>
      </c>
      <c r="B56" s="61">
        <f>IF(SUMIF('regrets 6'!$B56:$F56, "&gt;0") &gt; 0, MAX('regrets 6'!B56, 0) / SUMIF('regrets 6'!$B56:$F56, "&gt;0"), 1 / COUNT('regrets 6'!$B56:$F56))</f>
        <v>0.5</v>
      </c>
      <c r="C56" s="61">
        <f>IF(SUMIF('regrets 6'!$B56:$F56, "&gt;0") &gt; 0, MAX('regrets 6'!C56, 0) / SUMIF('regrets 6'!$B56:$F56, "&gt;0"), 1 / COUNT('regrets 6'!$B56:$F56))</f>
        <v>0.5</v>
      </c>
      <c r="D56" s="61"/>
      <c r="E56" s="61"/>
      <c r="F56" s="90"/>
      <c r="G56" s="60">
        <f>IF(SUMIF('regrets 6'!$G56:$K56, "&gt;0") &gt; 0, MAX('regrets 6'!G56, 0) / SUMIF('regrets 6'!$G56:$K56, "&gt;0"), 1 / COUNT('regrets 6'!$G56:$K56))</f>
        <v>1</v>
      </c>
      <c r="H56" s="60">
        <f>IF(SUMIF('regrets 6'!$G56:$K56, "&gt;0") &gt; 0, MAX('regrets 6'!H56, 0) / SUMIF('regrets 6'!$G56:$K56, "&gt;0"), 1 / COUNT('regrets 6'!$G56:$K56))</f>
        <v>0</v>
      </c>
      <c r="I56" s="61"/>
      <c r="J56" s="61"/>
      <c r="K56" s="90"/>
      <c r="L56" s="60">
        <f>IF(SUMIF('regrets 6'!$L56:$P56, "&gt;0") &gt; 0, MAX('regrets 6'!L56, 0) / SUMIF('regrets 6'!$L56:$P56, "&gt;0"), 1 / COUNT('regrets 6'!$L56:$P56))</f>
        <v>0.5</v>
      </c>
      <c r="M56" s="60">
        <f>IF(SUMIF('regrets 6'!$L56:$P56, "&gt;0") &gt; 0, MAX('regrets 6'!M56, 0) / SUMIF('regrets 6'!$L56:$P56, "&gt;0"), 1 / COUNT('regrets 6'!$L56:$P56))</f>
        <v>0.5</v>
      </c>
      <c r="N56" s="61"/>
      <c r="O56" s="61"/>
      <c r="P56" s="90"/>
      <c r="Q56" s="60">
        <f>IF(SUMIF('regrets 6'!$Q56:$U56, "&gt;0") &gt; 0, MAX('regrets 6'!Q56, 0) / SUMIF('regrets 6'!$Q56:$U56, "&gt;0"), 1 / COUNT('regrets 6'!$Q56:$U56))</f>
        <v>0.5</v>
      </c>
      <c r="R56" s="60">
        <f>IF(SUMIF('regrets 6'!$Q56:$U56, "&gt;0") &gt; 0, MAX('regrets 6'!R56, 0) / SUMIF('regrets 6'!$Q56:$U56, "&gt;0"), 1 / COUNT('regrets 6'!$Q56:$U56))</f>
        <v>0.5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f>IF(SUMIF('regrets 6'!$B57:$F57, "&gt;0") &gt; 0, MAX('regrets 6'!C57, 0) / SUMIF('regrets 6'!$B57:$F57, "&gt;0"), 1 / COUNT('regrets 6'!$B57:$F57))</f>
        <v>0.5</v>
      </c>
      <c r="D57" s="61">
        <f>IF(SUMIF('regrets 6'!$B57:$F57, "&gt;0") &gt; 0, MAX('regrets 6'!D57, 0) / SUMIF('regrets 6'!$B57:$F57, "&gt;0"), 1 / COUNT('regrets 6'!$B57:$F57))</f>
        <v>0.5</v>
      </c>
      <c r="E57" s="61"/>
      <c r="F57" s="90"/>
      <c r="G57" s="60"/>
      <c r="H57" s="60">
        <f>IF(SUMIF('regrets 6'!$G57:$K57, "&gt;0") &gt; 0, MAX('regrets 6'!H57, 0) / SUMIF('regrets 6'!$G57:$K57, "&gt;0"), 1 / COUNT('regrets 6'!$G57:$K57))</f>
        <v>0.5</v>
      </c>
      <c r="I57" s="60">
        <f>IF(SUMIF('regrets 6'!$G57:$K57, "&gt;0") &gt; 0, MAX('regrets 6'!I57, 0) / SUMIF('regrets 6'!$G57:$K57, "&gt;0"), 1 / COUNT('regrets 6'!$G57:$K57))</f>
        <v>0.5</v>
      </c>
      <c r="J57" s="61"/>
      <c r="K57" s="90"/>
      <c r="L57" s="60"/>
      <c r="M57" s="60">
        <f>IF(SUMIF('regrets 6'!$L57:$P57, "&gt;0") &gt; 0, MAX('regrets 6'!M57, 0) / SUMIF('regrets 6'!$L57:$P57, "&gt;0"), 1 / COUNT('regrets 6'!$L57:$P57))</f>
        <v>0.5</v>
      </c>
      <c r="N57" s="60">
        <f>IF(SUMIF('regrets 6'!$L57:$P57, "&gt;0") &gt; 0, MAX('regrets 6'!N57, 0) / SUMIF('regrets 6'!$L57:$P57, "&gt;0"), 1 / COUNT('regrets 6'!$L57:$P57))</f>
        <v>0.5</v>
      </c>
      <c r="O57" s="61"/>
      <c r="P57" s="90"/>
      <c r="Q57" s="60"/>
      <c r="R57" s="60">
        <f>IF(SUMIF('regrets 6'!$Q57:$U57, "&gt;0") &gt; 0, MAX('regrets 6'!R57, 0) / SUMIF('regrets 6'!$Q57:$U57, "&gt;0"), 1 / COUNT('regrets 6'!$Q57:$U57))</f>
        <v>0.5</v>
      </c>
      <c r="S57" s="60">
        <f>IF(SUMIF('regrets 6'!$Q57:$U57, "&gt;0") &gt; 0, MAX('regrets 6'!S57, 0) / SUMIF('regrets 6'!$Q57:$U57, "&gt;0"), 1 / COUNT('regrets 6'!$Q57:$U57))</f>
        <v>0.5</v>
      </c>
      <c r="T57" s="61"/>
      <c r="U57" s="90"/>
    </row>
    <row r="58" spans="1:21" ht="20" customHeight="1" x14ac:dyDescent="0.15">
      <c r="A58" s="12">
        <v>17</v>
      </c>
      <c r="B58" s="61">
        <f>IF(SUMIF('regrets 6'!$B58:$F58, "&gt;0") &gt; 0, MAX('regrets 6'!B58, 0) / SUMIF('regrets 6'!$B58:$F58, "&gt;0"), 1 / COUNT('regrets 6'!$B58:$F58))</f>
        <v>0.5</v>
      </c>
      <c r="C58" s="61">
        <f>IF(SUMIF('regrets 6'!$B58:$F58, "&gt;0") &gt; 0, MAX('regrets 6'!C58, 0) / SUMIF('regrets 6'!$B58:$F58, "&gt;0"), 1 / COUNT('regrets 6'!$B58:$F58))</f>
        <v>0.5</v>
      </c>
      <c r="D58" s="61"/>
      <c r="E58" s="61"/>
      <c r="F58" s="90"/>
      <c r="G58" s="60">
        <f>IF(SUMIF('regrets 6'!$G58:$K58, "&gt;0") &gt; 0, MAX('regrets 6'!G58, 0) / SUMIF('regrets 6'!$G58:$K58, "&gt;0"), 1 / COUNT('regrets 6'!$G58:$K58))</f>
        <v>0.5</v>
      </c>
      <c r="H58" s="60">
        <f>IF(SUMIF('regrets 6'!$G58:$K58, "&gt;0") &gt; 0, MAX('regrets 6'!H58, 0) / SUMIF('regrets 6'!$G58:$K58, "&gt;0"), 1 / COUNT('regrets 6'!$G58:$K58))</f>
        <v>0.5</v>
      </c>
      <c r="I58" s="61"/>
      <c r="J58" s="61"/>
      <c r="K58" s="90"/>
      <c r="L58" s="60">
        <f>IF(SUMIF('regrets 6'!$L58:$P58, "&gt;0") &gt; 0, MAX('regrets 6'!L58, 0) / SUMIF('regrets 6'!$L58:$P58, "&gt;0"), 1 / COUNT('regrets 6'!$L58:$P58))</f>
        <v>0.5</v>
      </c>
      <c r="M58" s="60">
        <f>IF(SUMIF('regrets 6'!$L58:$P58, "&gt;0") &gt; 0, MAX('regrets 6'!M58, 0) / SUMIF('regrets 6'!$L58:$P58, "&gt;0"), 1 / COUNT('regrets 6'!$L58:$P58))</f>
        <v>0.5</v>
      </c>
      <c r="N58" s="61"/>
      <c r="O58" s="61"/>
      <c r="P58" s="90"/>
      <c r="Q58" s="60">
        <f>IF(SUMIF('regrets 6'!$Q58:$U58, "&gt;0") &gt; 0, MAX('regrets 6'!Q58, 0) / SUMIF('regrets 6'!$Q58:$U58, "&gt;0"), 1 / COUNT('regrets 6'!$Q58:$U58))</f>
        <v>0.5</v>
      </c>
      <c r="R58" s="60">
        <f>IF(SUMIF('regrets 6'!$Q58:$U58, "&gt;0") &gt; 0, MAX('regrets 6'!R58, 0) / SUMIF('regrets 6'!$Q58:$U58, "&gt;0"), 1 / COUNT('regrets 6'!$Q58:$U58))</f>
        <v>0.5</v>
      </c>
      <c r="S58" s="61"/>
      <c r="T58" s="61"/>
      <c r="U58" s="90"/>
    </row>
    <row r="59" spans="1:21" ht="20" customHeight="1" x14ac:dyDescent="0.15">
      <c r="A59" s="12">
        <v>18</v>
      </c>
      <c r="B59" s="61">
        <f>IF(SUMIF('regrets 6'!$B59:$F59, "&gt;0") &gt; 0, MAX('regrets 6'!B59, 0) / SUMIF('regrets 6'!$B59:$F59, "&gt;0"), 1 / COUNT('regrets 6'!$B59:$F59))</f>
        <v>0.5</v>
      </c>
      <c r="C59" s="61">
        <f>IF(SUMIF('regrets 6'!$B59:$F59, "&gt;0") &gt; 0, MAX('regrets 6'!C59, 0) / SUMIF('regrets 6'!$B59:$F59, "&gt;0"), 1 / COUNT('regrets 6'!$B59:$F59))</f>
        <v>0.5</v>
      </c>
      <c r="D59" s="61"/>
      <c r="E59" s="61"/>
      <c r="F59" s="90"/>
      <c r="G59" s="60">
        <f>IF(SUMIF('regrets 6'!$G59:$K59, "&gt;0") &gt; 0, MAX('regrets 6'!G59, 0) / SUMIF('regrets 6'!$G59:$K59, "&gt;0"), 1 / COUNT('regrets 6'!$G59:$K59))</f>
        <v>0.5</v>
      </c>
      <c r="H59" s="60">
        <f>IF(SUMIF('regrets 6'!$G59:$K59, "&gt;0") &gt; 0, MAX('regrets 6'!H59, 0) / SUMIF('regrets 6'!$G59:$K59, "&gt;0"), 1 / COUNT('regrets 6'!$G59:$K59))</f>
        <v>0.5</v>
      </c>
      <c r="I59" s="61"/>
      <c r="J59" s="61"/>
      <c r="K59" s="90"/>
      <c r="L59" s="60">
        <f>IF(SUMIF('regrets 6'!$L59:$P59, "&gt;0") &gt; 0, MAX('regrets 6'!L59, 0) / SUMIF('regrets 6'!$L59:$P59, "&gt;0"), 1 / COUNT('regrets 6'!$L59:$P59))</f>
        <v>0.5</v>
      </c>
      <c r="M59" s="60">
        <f>IF(SUMIF('regrets 6'!$L59:$P59, "&gt;0") &gt; 0, MAX('regrets 6'!M59, 0) / SUMIF('regrets 6'!$L59:$P59, "&gt;0"), 1 / COUNT('regrets 6'!$L59:$P59))</f>
        <v>0.5</v>
      </c>
      <c r="N59" s="61"/>
      <c r="O59" s="61"/>
      <c r="P59" s="90"/>
      <c r="Q59" s="60">
        <f>IF(SUMIF('regrets 6'!$Q59:$U59, "&gt;0") &gt; 0, MAX('regrets 6'!Q59, 0) / SUMIF('regrets 6'!$Q59:$U59, "&gt;0"), 1 / COUNT('regrets 6'!$Q59:$U59))</f>
        <v>0.5</v>
      </c>
      <c r="R59" s="60">
        <f>IF(SUMIF('regrets 6'!$Q59:$U59, "&gt;0") &gt; 0, MAX('regrets 6'!R59, 0) / SUMIF('regrets 6'!$Q59:$U59, "&gt;0"), 1 / COUNT('regrets 6'!$Q59:$U59))</f>
        <v>0.5</v>
      </c>
      <c r="S59" s="61"/>
      <c r="T59" s="61"/>
      <c r="U59" s="90"/>
    </row>
    <row r="60" spans="1:21" ht="20" customHeight="1" x14ac:dyDescent="0.15">
      <c r="A60" s="12">
        <v>19</v>
      </c>
      <c r="B60" s="61">
        <f>IF(SUMIF('regrets 6'!$B60:$F60, "&gt;0") &gt; 0, MAX('regrets 6'!B60, 0) / SUMIF('regrets 6'!$B60:$F60, "&gt;0"), 1 / COUNT('regrets 6'!$B60:$F60))</f>
        <v>0.5</v>
      </c>
      <c r="C60" s="61">
        <f>IF(SUMIF('regrets 6'!$B60:$F60, "&gt;0") &gt; 0, MAX('regrets 6'!C60, 0) / SUMIF('regrets 6'!$B60:$F60, "&gt;0"), 1 / COUNT('regrets 6'!$B60:$F60))</f>
        <v>0.5</v>
      </c>
      <c r="D60" s="61"/>
      <c r="E60" s="61"/>
      <c r="F60" s="90"/>
      <c r="G60" s="60">
        <f>IF(SUMIF('regrets 6'!$G60:$K60, "&gt;0") &gt; 0, MAX('regrets 6'!G60, 0) / SUMIF('regrets 6'!$G60:$K60, "&gt;0"), 1 / COUNT('regrets 6'!$G60:$K60))</f>
        <v>0.5</v>
      </c>
      <c r="H60" s="60">
        <f>IF(SUMIF('regrets 6'!$G60:$K60, "&gt;0") &gt; 0, MAX('regrets 6'!H60, 0) / SUMIF('regrets 6'!$G60:$K60, "&gt;0"), 1 / COUNT('regrets 6'!$G60:$K60))</f>
        <v>0.5</v>
      </c>
      <c r="I60" s="61"/>
      <c r="J60" s="61"/>
      <c r="K60" s="90"/>
      <c r="L60" s="60">
        <f>IF(SUMIF('regrets 6'!$L60:$P60, "&gt;0") &gt; 0, MAX('regrets 6'!L60, 0) / SUMIF('regrets 6'!$L60:$P60, "&gt;0"), 1 / COUNT('regrets 6'!$L60:$P60))</f>
        <v>0.5</v>
      </c>
      <c r="M60" s="60">
        <f>IF(SUMIF('regrets 6'!$L60:$P60, "&gt;0") &gt; 0, MAX('regrets 6'!M60, 0) / SUMIF('regrets 6'!$L60:$P60, "&gt;0"), 1 / COUNT('regrets 6'!$L60:$P60))</f>
        <v>0.5</v>
      </c>
      <c r="N60" s="61"/>
      <c r="O60" s="61"/>
      <c r="P60" s="90"/>
      <c r="Q60" s="60">
        <f>IF(SUMIF('regrets 6'!$Q60:$U60, "&gt;0") &gt; 0, MAX('regrets 6'!Q60, 0) / SUMIF('regrets 6'!$Q60:$U60, "&gt;0"), 1 / COUNT('regrets 6'!$Q60:$U60))</f>
        <v>0.5</v>
      </c>
      <c r="R60" s="60">
        <f>IF(SUMIF('regrets 6'!$Q60:$U60, "&gt;0") &gt; 0, MAX('regrets 6'!R60, 0) / SUMIF('regrets 6'!$Q60:$U60, "&gt;0"), 1 / COUNT('regrets 6'!$Q60:$U60))</f>
        <v>0.5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f>IF(SUMIF('regrets 6'!$B61:$F61, "&gt;0") &gt; 0, MAX('regrets 6'!C61, 0) / SUMIF('regrets 6'!$B61:$F61, "&gt;0"), 1 / COUNT('regrets 6'!$B61:$F61))</f>
        <v>0.5</v>
      </c>
      <c r="D61" s="61">
        <f>IF(SUMIF('regrets 6'!$B61:$F61, "&gt;0") &gt; 0, MAX('regrets 6'!D61, 0) / SUMIF('regrets 6'!$B61:$F61, "&gt;0"), 1 / COUNT('regrets 6'!$B61:$F61))</f>
        <v>0.5</v>
      </c>
      <c r="E61" s="61"/>
      <c r="F61" s="90"/>
      <c r="G61" s="60"/>
      <c r="H61" s="60">
        <f>IF(SUMIF('regrets 6'!$G61:$K61, "&gt;0") &gt; 0, MAX('regrets 6'!H61, 0) / SUMIF('regrets 6'!$G61:$K61, "&gt;0"), 1 / COUNT('regrets 6'!$G61:$K61))</f>
        <v>0.5</v>
      </c>
      <c r="I61" s="60">
        <f>IF(SUMIF('regrets 6'!$G61:$K61, "&gt;0") &gt; 0, MAX('regrets 6'!I61, 0) / SUMIF('regrets 6'!$G61:$K61, "&gt;0"), 1 / COUNT('regrets 6'!$G61:$K61))</f>
        <v>0.5</v>
      </c>
      <c r="J61" s="61"/>
      <c r="K61" s="90"/>
      <c r="L61" s="60"/>
      <c r="M61" s="60">
        <f>IF(SUMIF('regrets 6'!$L61:$P61, "&gt;0") &gt; 0, MAX('regrets 6'!M61, 0) / SUMIF('regrets 6'!$L61:$P61, "&gt;0"), 1 / COUNT('regrets 6'!$L61:$P61))</f>
        <v>0.5</v>
      </c>
      <c r="N61" s="60">
        <f>IF(SUMIF('regrets 6'!$L61:$P61, "&gt;0") &gt; 0, MAX('regrets 6'!N61, 0) / SUMIF('regrets 6'!$L61:$P61, "&gt;0"), 1 / COUNT('regrets 6'!$L61:$P61))</f>
        <v>0.5</v>
      </c>
      <c r="O61" s="61"/>
      <c r="P61" s="90"/>
      <c r="Q61" s="60"/>
      <c r="R61" s="60">
        <f>IF(SUMIF('regrets 6'!$Q61:$U61, "&gt;0") &gt; 0, MAX('regrets 6'!R61, 0) / SUMIF('regrets 6'!$Q61:$U61, "&gt;0"), 1 / COUNT('regrets 6'!$Q61:$U61))</f>
        <v>0.5</v>
      </c>
      <c r="S61" s="60">
        <f>IF(SUMIF('regrets 6'!$Q61:$U61, "&gt;0") &gt; 0, MAX('regrets 6'!S61, 0) / SUMIF('regrets 6'!$Q61:$U61, "&gt;0"), 1 / COUNT('regrets 6'!$Q61:$U61))</f>
        <v>0.5</v>
      </c>
      <c r="T61" s="61"/>
      <c r="U61" s="90"/>
    </row>
    <row r="62" spans="1:21" ht="20" customHeight="1" x14ac:dyDescent="0.15">
      <c r="A62" s="12">
        <v>21</v>
      </c>
      <c r="B62" s="61">
        <f>IF(SUMIF('regrets 6'!$B62:$F62, "&gt;0") &gt; 0, MAX('regrets 6'!B62, 0) / SUMIF('regrets 6'!$B62:$F62, "&gt;0"), 1 / COUNT('regrets 6'!$B62:$F62))</f>
        <v>0.5</v>
      </c>
      <c r="C62" s="61">
        <f>IF(SUMIF('regrets 6'!$B62:$F62, "&gt;0") &gt; 0, MAX('regrets 6'!C62, 0) / SUMIF('regrets 6'!$B62:$F62, "&gt;0"), 1 / COUNT('regrets 6'!$B62:$F62))</f>
        <v>0.5</v>
      </c>
      <c r="D62" s="61"/>
      <c r="E62" s="61"/>
      <c r="F62" s="90"/>
      <c r="G62" s="60">
        <f>IF(SUMIF('regrets 6'!$G62:$K62, "&gt;0") &gt; 0, MAX('regrets 6'!G62, 0) / SUMIF('regrets 6'!$G62:$K62, "&gt;0"), 1 / COUNT('regrets 6'!$G62:$K62))</f>
        <v>0.5</v>
      </c>
      <c r="H62" s="60">
        <f>IF(SUMIF('regrets 6'!$G62:$K62, "&gt;0") &gt; 0, MAX('regrets 6'!H62, 0) / SUMIF('regrets 6'!$G62:$K62, "&gt;0"), 1 / COUNT('regrets 6'!$G62:$K62))</f>
        <v>0.5</v>
      </c>
      <c r="I62" s="61"/>
      <c r="J62" s="61"/>
      <c r="K62" s="90"/>
      <c r="L62" s="60">
        <f>IF(SUMIF('regrets 6'!$L62:$P62, "&gt;0") &gt; 0, MAX('regrets 6'!L62, 0) / SUMIF('regrets 6'!$L62:$P62, "&gt;0"), 1 / COUNT('regrets 6'!$L62:$P62))</f>
        <v>0.5</v>
      </c>
      <c r="M62" s="60">
        <f>IF(SUMIF('regrets 6'!$L62:$P62, "&gt;0") &gt; 0, MAX('regrets 6'!M62, 0) / SUMIF('regrets 6'!$L62:$P62, "&gt;0"), 1 / COUNT('regrets 6'!$L62:$P62))</f>
        <v>0.5</v>
      </c>
      <c r="N62" s="61"/>
      <c r="O62" s="61"/>
      <c r="P62" s="90"/>
      <c r="Q62" s="60">
        <f>IF(SUMIF('regrets 6'!$Q62:$U62, "&gt;0") &gt; 0, MAX('regrets 6'!Q62, 0) / SUMIF('regrets 6'!$Q62:$U62, "&gt;0"), 1 / COUNT('regrets 6'!$Q62:$U62))</f>
        <v>0.5</v>
      </c>
      <c r="R62" s="60">
        <f>IF(SUMIF('regrets 6'!$Q62:$U62, "&gt;0") &gt; 0, MAX('regrets 6'!R62, 0) / SUMIF('regrets 6'!$Q62:$U62, "&gt;0"), 1 / COUNT('regrets 6'!$Q62:$U62))</f>
        <v>0.5</v>
      </c>
      <c r="S62" s="61"/>
      <c r="T62" s="61"/>
      <c r="U62" s="90"/>
    </row>
    <row r="63" spans="1:21" ht="20" customHeight="1" x14ac:dyDescent="0.15">
      <c r="A63" s="12">
        <v>22</v>
      </c>
      <c r="B63" s="61">
        <f>IF(SUMIF('regrets 6'!$B63:$F63, "&gt;0") &gt; 0, MAX('regrets 6'!B63, 0) / SUMIF('regrets 6'!$B63:$F63, "&gt;0"), 1 / COUNT('regrets 6'!$B63:$F63))</f>
        <v>0.5</v>
      </c>
      <c r="C63" s="61">
        <f>IF(SUMIF('regrets 6'!$B63:$F63, "&gt;0") &gt; 0, MAX('regrets 6'!C63, 0) / SUMIF('regrets 6'!$B63:$F63, "&gt;0"), 1 / COUNT('regrets 6'!$B63:$F63))</f>
        <v>0.5</v>
      </c>
      <c r="D63" s="61"/>
      <c r="E63" s="61"/>
      <c r="F63" s="90"/>
      <c r="G63" s="60">
        <f>IF(SUMIF('regrets 6'!$G63:$K63, "&gt;0") &gt; 0, MAX('regrets 6'!G63, 0) / SUMIF('regrets 6'!$G63:$K63, "&gt;0"), 1 / COUNT('regrets 6'!$G63:$K63))</f>
        <v>0.5</v>
      </c>
      <c r="H63" s="60">
        <f>IF(SUMIF('regrets 6'!$G63:$K63, "&gt;0") &gt; 0, MAX('regrets 6'!H63, 0) / SUMIF('regrets 6'!$G63:$K63, "&gt;0"), 1 / COUNT('regrets 6'!$G63:$K63))</f>
        <v>0.5</v>
      </c>
      <c r="I63" s="61"/>
      <c r="J63" s="61"/>
      <c r="K63" s="90"/>
      <c r="L63" s="60">
        <f>IF(SUMIF('regrets 6'!$L63:$P63, "&gt;0") &gt; 0, MAX('regrets 6'!L63, 0) / SUMIF('regrets 6'!$L63:$P63, "&gt;0"), 1 / COUNT('regrets 6'!$L63:$P63))</f>
        <v>0.5</v>
      </c>
      <c r="M63" s="60">
        <f>IF(SUMIF('regrets 6'!$L63:$P63, "&gt;0") &gt; 0, MAX('regrets 6'!M63, 0) / SUMIF('regrets 6'!$L63:$P63, "&gt;0"), 1 / COUNT('regrets 6'!$L63:$P63))</f>
        <v>0.5</v>
      </c>
      <c r="N63" s="61"/>
      <c r="O63" s="61"/>
      <c r="P63" s="90"/>
      <c r="Q63" s="60">
        <f>IF(SUMIF('regrets 6'!$Q63:$U63, "&gt;0") &gt; 0, MAX('regrets 6'!Q63, 0) / SUMIF('regrets 6'!$Q63:$U63, "&gt;0"), 1 / COUNT('regrets 6'!$Q63:$U63))</f>
        <v>0.5</v>
      </c>
      <c r="R63" s="60">
        <f>IF(SUMIF('regrets 6'!$Q63:$U63, "&gt;0") &gt; 0, MAX('regrets 6'!R63, 0) / SUMIF('regrets 6'!$Q63:$U63, "&gt;0"), 1 / COUNT('regrets 6'!$Q63:$U63))</f>
        <v>0.5</v>
      </c>
      <c r="S63" s="61"/>
      <c r="T63" s="61"/>
      <c r="U63" s="90"/>
    </row>
    <row r="64" spans="1:21" ht="20" customHeight="1" x14ac:dyDescent="0.15">
      <c r="A64" s="12">
        <v>23</v>
      </c>
      <c r="B64" s="61">
        <f>IF(SUMIF('regrets 6'!$B64:$F64, "&gt;0") &gt; 0, MAX('regrets 6'!B64, 0) / SUMIF('regrets 6'!$B64:$F64, "&gt;0"), 1 / COUNT('regrets 6'!$B64:$F64))</f>
        <v>0.5</v>
      </c>
      <c r="C64" s="61">
        <f>IF(SUMIF('regrets 6'!$B64:$F64, "&gt;0") &gt; 0, MAX('regrets 6'!C64, 0) / SUMIF('regrets 6'!$B64:$F64, "&gt;0"), 1 / COUNT('regrets 6'!$B64:$F64))</f>
        <v>0.5</v>
      </c>
      <c r="D64" s="61"/>
      <c r="E64" s="61"/>
      <c r="F64" s="90"/>
      <c r="G64" s="60">
        <f>IF(SUMIF('regrets 6'!$G64:$K64, "&gt;0") &gt; 0, MAX('regrets 6'!G64, 0) / SUMIF('regrets 6'!$G64:$K64, "&gt;0"), 1 / COUNT('regrets 6'!$G64:$K64))</f>
        <v>0.5</v>
      </c>
      <c r="H64" s="60">
        <f>IF(SUMIF('regrets 6'!$G64:$K64, "&gt;0") &gt; 0, MAX('regrets 6'!H64, 0) / SUMIF('regrets 6'!$G64:$K64, "&gt;0"), 1 / COUNT('regrets 6'!$G64:$K64))</f>
        <v>0.5</v>
      </c>
      <c r="I64" s="61"/>
      <c r="J64" s="61"/>
      <c r="K64" s="90"/>
      <c r="L64" s="60">
        <f>IF(SUMIF('regrets 6'!$L64:$P64, "&gt;0") &gt; 0, MAX('regrets 6'!L64, 0) / SUMIF('regrets 6'!$L64:$P64, "&gt;0"), 1 / COUNT('regrets 6'!$L64:$P64))</f>
        <v>0.5</v>
      </c>
      <c r="M64" s="60">
        <f>IF(SUMIF('regrets 6'!$L64:$P64, "&gt;0") &gt; 0, MAX('regrets 6'!M64, 0) / SUMIF('regrets 6'!$L64:$P64, "&gt;0"), 1 / COUNT('regrets 6'!$L64:$P64))</f>
        <v>0.5</v>
      </c>
      <c r="N64" s="61"/>
      <c r="O64" s="61"/>
      <c r="P64" s="90"/>
      <c r="Q64" s="60">
        <f>IF(SUMIF('regrets 6'!$Q64:$U64, "&gt;0") &gt; 0, MAX('regrets 6'!Q64, 0) / SUMIF('regrets 6'!$Q64:$U64, "&gt;0"), 1 / COUNT('regrets 6'!$Q64:$U64))</f>
        <v>0.5</v>
      </c>
      <c r="R64" s="60">
        <f>IF(SUMIF('regrets 6'!$Q64:$U64, "&gt;0") &gt; 0, MAX('regrets 6'!R64, 0) / SUMIF('regrets 6'!$Q64:$U64, "&gt;0"), 1 / COUNT('regrets 6'!$Q64:$U64))</f>
        <v>0.5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f>IF(SUMIF('regrets 6'!$B65:$F65, "&gt;0") &gt; 0, MAX('regrets 6'!C65, 0) / SUMIF('regrets 6'!$B65:$F65, "&gt;0"), 1 / COUNT('regrets 6'!$B65:$F65))</f>
        <v>0.5</v>
      </c>
      <c r="D65" s="61">
        <f>IF(SUMIF('regrets 6'!$B65:$F65, "&gt;0") &gt; 0, MAX('regrets 6'!D65, 0) / SUMIF('regrets 6'!$B65:$F65, "&gt;0"), 1 / COUNT('regrets 6'!$B65:$F65))</f>
        <v>0.5</v>
      </c>
      <c r="E65" s="61"/>
      <c r="F65" s="90"/>
      <c r="G65" s="60"/>
      <c r="H65" s="60">
        <f>IF(SUMIF('regrets 6'!$G65:$K65, "&gt;0") &gt; 0, MAX('regrets 6'!H65, 0) / SUMIF('regrets 6'!$G65:$K65, "&gt;0"), 1 / COUNT('regrets 6'!$G65:$K65))</f>
        <v>0.5</v>
      </c>
      <c r="I65" s="60">
        <f>IF(SUMIF('regrets 6'!$G65:$K65, "&gt;0") &gt; 0, MAX('regrets 6'!I65, 0) / SUMIF('regrets 6'!$G65:$K65, "&gt;0"), 1 / COUNT('regrets 6'!$G65:$K65))</f>
        <v>0.5</v>
      </c>
      <c r="J65" s="61"/>
      <c r="K65" s="90"/>
      <c r="L65" s="60"/>
      <c r="M65" s="60">
        <f>IF(SUMIF('regrets 6'!$L65:$P65, "&gt;0") &gt; 0, MAX('regrets 6'!M65, 0) / SUMIF('regrets 6'!$L65:$P65, "&gt;0"), 1 / COUNT('regrets 6'!$L65:$P65))</f>
        <v>0.5</v>
      </c>
      <c r="N65" s="60">
        <f>IF(SUMIF('regrets 6'!$L65:$P65, "&gt;0") &gt; 0, MAX('regrets 6'!N65, 0) / SUMIF('regrets 6'!$L65:$P65, "&gt;0"), 1 / COUNT('regrets 6'!$L65:$P65))</f>
        <v>0.5</v>
      </c>
      <c r="O65" s="61"/>
      <c r="P65" s="90"/>
      <c r="Q65" s="60"/>
      <c r="R65" s="60">
        <f>IF(SUMIF('regrets 6'!$Q65:$U65, "&gt;0") &gt; 0, MAX('regrets 6'!R65, 0) / SUMIF('regrets 6'!$Q65:$U65, "&gt;0"), 1 / COUNT('regrets 6'!$Q65:$U65))</f>
        <v>0.5</v>
      </c>
      <c r="S65" s="60">
        <f>IF(SUMIF('regrets 6'!$Q65:$U65, "&gt;0") &gt; 0, MAX('regrets 6'!S65, 0) / SUMIF('regrets 6'!$Q65:$U65, "&gt;0"), 1 / COUNT('regrets 6'!$Q65:$U65))</f>
        <v>0.5</v>
      </c>
      <c r="T65" s="61"/>
      <c r="U65" s="90"/>
    </row>
    <row r="66" spans="1:21" ht="20" customHeight="1" x14ac:dyDescent="0.15">
      <c r="A66" s="12">
        <v>25</v>
      </c>
      <c r="B66" s="61">
        <f>IF(SUMIF('regrets 6'!$B66:$F66, "&gt;0") &gt; 0, MAX('regrets 6'!B66, 0) / SUMIF('regrets 6'!$B66:$F66, "&gt;0"), 1 / COUNT('regrets 6'!$B66:$F66))</f>
        <v>0.5</v>
      </c>
      <c r="C66" s="61">
        <f>IF(SUMIF('regrets 6'!$B66:$F66, "&gt;0") &gt; 0, MAX('regrets 6'!C66, 0) / SUMIF('regrets 6'!$B66:$F66, "&gt;0"), 1 / COUNT('regrets 6'!$B66:$F66))</f>
        <v>0.5</v>
      </c>
      <c r="D66" s="61"/>
      <c r="E66" s="61"/>
      <c r="F66" s="90"/>
      <c r="G66" s="60">
        <f>IF(SUMIF('regrets 6'!$G66:$K66, "&gt;0") &gt; 0, MAX('regrets 6'!G66, 0) / SUMIF('regrets 6'!$G66:$K66, "&gt;0"), 1 / COUNT('regrets 6'!$G66:$K66))</f>
        <v>0.5</v>
      </c>
      <c r="H66" s="60">
        <f>IF(SUMIF('regrets 6'!$G66:$K66, "&gt;0") &gt; 0, MAX('regrets 6'!H66, 0) / SUMIF('regrets 6'!$G66:$K66, "&gt;0"), 1 / COUNT('regrets 6'!$G66:$K66))</f>
        <v>0.5</v>
      </c>
      <c r="I66" s="61"/>
      <c r="J66" s="61"/>
      <c r="K66" s="90"/>
      <c r="L66" s="60">
        <f>IF(SUMIF('regrets 6'!$L66:$P66, "&gt;0") &gt; 0, MAX('regrets 6'!L66, 0) / SUMIF('regrets 6'!$L66:$P66, "&gt;0"), 1 / COUNT('regrets 6'!$L66:$P66))</f>
        <v>0.5</v>
      </c>
      <c r="M66" s="60">
        <f>IF(SUMIF('regrets 6'!$L66:$P66, "&gt;0") &gt; 0, MAX('regrets 6'!M66, 0) / SUMIF('regrets 6'!$L66:$P66, "&gt;0"), 1 / COUNT('regrets 6'!$L66:$P66))</f>
        <v>0.5</v>
      </c>
      <c r="N66" s="61"/>
      <c r="O66" s="61"/>
      <c r="P66" s="90"/>
      <c r="Q66" s="60">
        <f>IF(SUMIF('regrets 6'!$Q66:$U66, "&gt;0") &gt; 0, MAX('regrets 6'!Q66, 0) / SUMIF('regrets 6'!$Q66:$U66, "&gt;0"), 1 / COUNT('regrets 6'!$Q66:$U66))</f>
        <v>0.5</v>
      </c>
      <c r="R66" s="60">
        <f>IF(SUMIF('regrets 6'!$Q66:$U66, "&gt;0") &gt; 0, MAX('regrets 6'!R66, 0) / SUMIF('regrets 6'!$Q66:$U66, "&gt;0"), 1 / COUNT('regrets 6'!$Q66:$U66))</f>
        <v>0.5</v>
      </c>
      <c r="S66" s="61"/>
      <c r="T66" s="61"/>
      <c r="U66" s="90"/>
    </row>
    <row r="67" spans="1:21" ht="20" customHeight="1" x14ac:dyDescent="0.15">
      <c r="A67" s="12">
        <v>26</v>
      </c>
      <c r="B67" s="61">
        <f>IF(SUMIF('regrets 6'!$B67:$F67, "&gt;0") &gt; 0, MAX('regrets 6'!B67, 0) / SUMIF('regrets 6'!$B67:$F67, "&gt;0"), 1 / COUNT('regrets 6'!$B67:$F67))</f>
        <v>0.5</v>
      </c>
      <c r="C67" s="61">
        <f>IF(SUMIF('regrets 6'!$B67:$F67, "&gt;0") &gt; 0, MAX('regrets 6'!C67, 0) / SUMIF('regrets 6'!$B67:$F67, "&gt;0"), 1 / COUNT('regrets 6'!$B67:$F67))</f>
        <v>0.5</v>
      </c>
      <c r="D67" s="61"/>
      <c r="E67" s="61"/>
      <c r="F67" s="90"/>
      <c r="G67" s="60">
        <f>IF(SUMIF('regrets 6'!$G67:$K67, "&gt;0") &gt; 0, MAX('regrets 6'!G67, 0) / SUMIF('regrets 6'!$G67:$K67, "&gt;0"), 1 / COUNT('regrets 6'!$G67:$K67))</f>
        <v>0.5</v>
      </c>
      <c r="H67" s="60">
        <f>IF(SUMIF('regrets 6'!$G67:$K67, "&gt;0") &gt; 0, MAX('regrets 6'!H67, 0) / SUMIF('regrets 6'!$G67:$K67, "&gt;0"), 1 / COUNT('regrets 6'!$G67:$K67))</f>
        <v>0.5</v>
      </c>
      <c r="I67" s="61"/>
      <c r="J67" s="61"/>
      <c r="K67" s="90"/>
      <c r="L67" s="60">
        <f>IF(SUMIF('regrets 6'!$L67:$P67, "&gt;0") &gt; 0, MAX('regrets 6'!L67, 0) / SUMIF('regrets 6'!$L67:$P67, "&gt;0"), 1 / COUNT('regrets 6'!$L67:$P67))</f>
        <v>0.5</v>
      </c>
      <c r="M67" s="60">
        <f>IF(SUMIF('regrets 6'!$L67:$P67, "&gt;0") &gt; 0, MAX('regrets 6'!M67, 0) / SUMIF('regrets 6'!$L67:$P67, "&gt;0"), 1 / COUNT('regrets 6'!$L67:$P67))</f>
        <v>0.5</v>
      </c>
      <c r="N67" s="61"/>
      <c r="O67" s="61"/>
      <c r="P67" s="90"/>
      <c r="Q67" s="60">
        <f>IF(SUMIF('regrets 6'!$Q67:$U67, "&gt;0") &gt; 0, MAX('regrets 6'!Q67, 0) / SUMIF('regrets 6'!$Q67:$U67, "&gt;0"), 1 / COUNT('regrets 6'!$Q67:$U67))</f>
        <v>0.5</v>
      </c>
      <c r="R67" s="60">
        <f>IF(SUMIF('regrets 6'!$Q67:$U67, "&gt;0") &gt; 0, MAX('regrets 6'!R67, 0) / SUMIF('regrets 6'!$Q67:$U67, "&gt;0"), 1 / COUNT('regrets 6'!$Q67:$U67))</f>
        <v>0.5</v>
      </c>
      <c r="S67" s="61"/>
      <c r="T67" s="61"/>
      <c r="U67" s="90"/>
    </row>
    <row r="68" spans="1:21" ht="20.75" customHeight="1" thickBot="1" x14ac:dyDescent="0.2">
      <c r="A68" s="17">
        <v>27</v>
      </c>
      <c r="B68" s="61">
        <f>IF(SUMIF('regrets 6'!$B68:$F68, "&gt;0") &gt; 0, MAX('regrets 6'!B68, 0) / SUMIF('regrets 6'!$B68:$F68, "&gt;0"), 1 / COUNT('regrets 6'!$B68:$F68))</f>
        <v>0.5</v>
      </c>
      <c r="C68" s="61">
        <f>IF(SUMIF('regrets 6'!$B68:$F68, "&gt;0") &gt; 0, MAX('regrets 6'!C68, 0) / SUMIF('regrets 6'!$B68:$F68, "&gt;0"), 1 / COUNT('regrets 6'!$B68:$F68))</f>
        <v>0.5</v>
      </c>
      <c r="D68" s="83"/>
      <c r="E68" s="83"/>
      <c r="F68" s="94"/>
      <c r="G68" s="60">
        <f>IF(SUMIF('regrets 6'!$G68:$K68, "&gt;0") &gt; 0, MAX('regrets 6'!G68, 0) / SUMIF('regrets 6'!$G68:$K68, "&gt;0"), 1 / COUNT('regrets 6'!$G68:$K68))</f>
        <v>0.5</v>
      </c>
      <c r="H68" s="60">
        <f>IF(SUMIF('regrets 6'!$G68:$K68, "&gt;0") &gt; 0, MAX('regrets 6'!H68, 0) / SUMIF('regrets 6'!$G68:$K68, "&gt;0"), 1 / COUNT('regrets 6'!$G68:$K68))</f>
        <v>0.5</v>
      </c>
      <c r="I68" s="83"/>
      <c r="J68" s="83"/>
      <c r="K68" s="94"/>
      <c r="L68" s="60">
        <f>IF(SUMIF('regrets 6'!$L68:$P68, "&gt;0") &gt; 0, MAX('regrets 6'!L68, 0) / SUMIF('regrets 6'!$L68:$P68, "&gt;0"), 1 / COUNT('regrets 6'!$L68:$P68))</f>
        <v>0.5</v>
      </c>
      <c r="M68" s="60">
        <f>IF(SUMIF('regrets 6'!$L68:$P68, "&gt;0") &gt; 0, MAX('regrets 6'!M68, 0) / SUMIF('regrets 6'!$L68:$P68, "&gt;0"), 1 / COUNT('regrets 6'!$L68:$P68))</f>
        <v>0.5</v>
      </c>
      <c r="N68" s="83"/>
      <c r="O68" s="83"/>
      <c r="P68" s="94"/>
      <c r="Q68" s="60">
        <f>IF(SUMIF('regrets 6'!$Q68:$U68, "&gt;0") &gt; 0, MAX('regrets 6'!Q68, 0) / SUMIF('regrets 6'!$Q68:$U68, "&gt;0"), 1 / COUNT('regrets 6'!$Q68:$U68))</f>
        <v>0.5</v>
      </c>
      <c r="R68" s="60">
        <f>IF(SUMIF('regrets 6'!$Q68:$U68, "&gt;0") &gt; 0, MAX('regrets 6'!R68, 0) / SUMIF('regrets 6'!$Q68:$U68, "&gt;0"), 1 / COUNT('regrets 6'!$Q68:$U68))</f>
        <v>0.5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f>IF(SUMIF('regrets 6'!$B69:$F69, "&gt;0") &gt; 0, MAX('regrets 6'!C69, 0) / SUMIF('regrets 6'!$B69:$F69, "&gt;0"), 1 / COUNT('regrets 6'!$B69:$F69))</f>
        <v>0.5</v>
      </c>
      <c r="D69" s="68">
        <f>IF(SUMIF('regrets 6'!$B69:$F69, "&gt;0") &gt; 0, MAX('regrets 6'!D69, 0) / SUMIF('regrets 6'!$B69:$F69, "&gt;0"), 1 / COUNT('regrets 6'!$B69:$F69))</f>
        <v>0.5</v>
      </c>
      <c r="E69" s="67"/>
      <c r="F69" s="86"/>
      <c r="G69" s="87"/>
      <c r="H69" s="68">
        <f>IF(SUMIF('regrets 6'!$G69:$K69, "&gt;0") &gt; 0, MAX('regrets 6'!H69, 0) / SUMIF('regrets 6'!$G69:$K69, "&gt;0"), 1 / COUNT('regrets 6'!$G69:$K69))</f>
        <v>0.5</v>
      </c>
      <c r="I69" s="68">
        <f>IF(SUMIF('regrets 6'!$G69:$K69, "&gt;0") &gt; 0, MAX('regrets 6'!I69, 0) / SUMIF('regrets 6'!$G69:$K69, "&gt;0"), 1 / COUNT('regrets 6'!$G69:$K69))</f>
        <v>0.5</v>
      </c>
      <c r="J69" s="67"/>
      <c r="K69" s="86"/>
      <c r="L69" s="87"/>
      <c r="M69" s="68">
        <f>IF(SUMIF('regrets 6'!$L69:$P69, "&gt;0") &gt; 0, MAX('regrets 6'!M69, 0) / SUMIF('regrets 6'!$L69:$P69, "&gt;0"), 1 / COUNT('regrets 6'!$L69:$P69))</f>
        <v>0.5</v>
      </c>
      <c r="N69" s="68">
        <f>IF(SUMIF('regrets 6'!$L69:$P69, "&gt;0") &gt; 0, MAX('regrets 6'!N69, 0) / SUMIF('regrets 6'!$L69:$P69, "&gt;0"), 1 / COUNT('regrets 6'!$L69:$P69))</f>
        <v>0.5</v>
      </c>
      <c r="O69" s="67"/>
      <c r="P69" s="86"/>
      <c r="Q69" s="87"/>
      <c r="R69" s="68">
        <f>IF(SUMIF('regrets 6'!$Q69:$U69, "&gt;0") &gt; 0, MAX('regrets 6'!R69, 0) / SUMIF('regrets 6'!$Q69:$U69, "&gt;0"), 1 / COUNT('regrets 6'!$Q69:$U69))</f>
        <v>0.5</v>
      </c>
      <c r="S69" s="68">
        <f>IF(SUMIF('regrets 6'!$Q69:$U69, "&gt;0") &gt; 0, MAX('regrets 6'!S69, 0) / SUMIF('regrets 6'!$Q69:$U69, "&gt;0"), 1 / COUNT('regrets 6'!$Q69:$U69))</f>
        <v>0.5</v>
      </c>
      <c r="T69" s="67"/>
      <c r="U69" s="86"/>
    </row>
    <row r="70" spans="1:21" ht="20" customHeight="1" x14ac:dyDescent="0.15">
      <c r="A70" s="12">
        <v>1</v>
      </c>
      <c r="B70" s="61">
        <f>IF(SUMIF('regrets 6'!$B70:$F70, "&gt;0") &gt; 0, MAX('regrets 6'!B70, 0) / SUMIF('regrets 6'!$B70:$F70, "&gt;0"), 1 / COUNT('regrets 6'!$B70:$F70))</f>
        <v>0.5</v>
      </c>
      <c r="C70" s="61">
        <f>IF(SUMIF('regrets 6'!$B70:$F70, "&gt;0") &gt; 0, MAX('regrets 6'!C70, 0) / SUMIF('regrets 6'!$B70:$F70, "&gt;0"), 1 / COUNT('regrets 6'!$B70:$F70))</f>
        <v>0.5</v>
      </c>
      <c r="D70" s="61"/>
      <c r="E70" s="62"/>
      <c r="F70" s="90"/>
      <c r="G70" s="60">
        <f>IF(SUMIF('regrets 6'!$G70:$K70, "&gt;0") &gt; 0, MAX('regrets 6'!G70, 0) / SUMIF('regrets 6'!$G70:$K70, "&gt;0"), 1 / COUNT('regrets 6'!$G70:$K70))</f>
        <v>0.5</v>
      </c>
      <c r="H70" s="60">
        <f>IF(SUMIF('regrets 6'!$G70:$K70, "&gt;0") &gt; 0, MAX('regrets 6'!H70, 0) / SUMIF('regrets 6'!$G70:$K70, "&gt;0"), 1 / COUNT('regrets 6'!$G70:$K70))</f>
        <v>0.5</v>
      </c>
      <c r="I70" s="61"/>
      <c r="J70" s="62"/>
      <c r="K70" s="90"/>
      <c r="L70" s="60">
        <f>IF(SUMIF('regrets 6'!$L70:$P70, "&gt;0") &gt; 0, MAX('regrets 6'!L70, 0) / SUMIF('regrets 6'!$L70:$P70, "&gt;0"), 1 / COUNT('regrets 6'!$L70:$P70))</f>
        <v>0.5</v>
      </c>
      <c r="M70" s="60">
        <f>IF(SUMIF('regrets 6'!$L70:$P70, "&gt;0") &gt; 0, MAX('regrets 6'!M70, 0) / SUMIF('regrets 6'!$L70:$P70, "&gt;0"), 1 / COUNT('regrets 6'!$L70:$P70))</f>
        <v>0.5</v>
      </c>
      <c r="N70" s="61"/>
      <c r="O70" s="62"/>
      <c r="P70" s="90"/>
      <c r="Q70" s="60">
        <f>IF(SUMIF('regrets 6'!$Q70:$U70, "&gt;0") &gt; 0, MAX('regrets 6'!Q70, 0) / SUMIF('regrets 6'!$Q70:$U70, "&gt;0"), 1 / COUNT('regrets 6'!$Q70:$U70))</f>
        <v>0.5</v>
      </c>
      <c r="R70" s="60">
        <f>IF(SUMIF('regrets 6'!$Q70:$U70, "&gt;0") &gt; 0, MAX('regrets 6'!R70, 0) / SUMIF('regrets 6'!$Q70:$U70, "&gt;0"), 1 / COUNT('regrets 6'!$Q70:$U70))</f>
        <v>0.5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f>IF(SUMIF('regrets 6'!$B71:$F71, "&gt;0") &gt; 0, MAX('regrets 6'!C71, 0) / SUMIF('regrets 6'!$B71:$F71, "&gt;0"), 1 / COUNT('regrets 6'!$B71:$F71))</f>
        <v>0.5</v>
      </c>
      <c r="D71" s="61">
        <f>IF(SUMIF('regrets 6'!$B71:$F71, "&gt;0") &gt; 0, MAX('regrets 6'!D71, 0) / SUMIF('regrets 6'!$B71:$F71, "&gt;0"), 1 / COUNT('regrets 6'!$B71:$F71))</f>
        <v>0.5</v>
      </c>
      <c r="E71" s="62"/>
      <c r="F71" s="90"/>
      <c r="G71" s="60"/>
      <c r="H71" s="60">
        <f>IF(SUMIF('regrets 6'!$G71:$K71, "&gt;0") &gt; 0, MAX('regrets 6'!H71, 0) / SUMIF('regrets 6'!$G71:$K71, "&gt;0"), 1 / COUNT('regrets 6'!$G71:$K71))</f>
        <v>0.5</v>
      </c>
      <c r="I71" s="60">
        <f>IF(SUMIF('regrets 6'!$G71:$K71, "&gt;0") &gt; 0, MAX('regrets 6'!I71, 0) / SUMIF('regrets 6'!$G71:$K71, "&gt;0"), 1 / COUNT('regrets 6'!$G71:$K71))</f>
        <v>0.5</v>
      </c>
      <c r="J71" s="62"/>
      <c r="K71" s="90"/>
      <c r="L71" s="60"/>
      <c r="M71" s="60">
        <f>IF(SUMIF('regrets 6'!$L71:$P71, "&gt;0") &gt; 0, MAX('regrets 6'!M71, 0) / SUMIF('regrets 6'!$L71:$P71, "&gt;0"), 1 / COUNT('regrets 6'!$L71:$P71))</f>
        <v>0.5</v>
      </c>
      <c r="N71" s="60">
        <f>IF(SUMIF('regrets 6'!$L71:$P71, "&gt;0") &gt; 0, MAX('regrets 6'!N71, 0) / SUMIF('regrets 6'!$L71:$P71, "&gt;0"), 1 / COUNT('regrets 6'!$L71:$P71))</f>
        <v>0.5</v>
      </c>
      <c r="O71" s="62"/>
      <c r="P71" s="90"/>
      <c r="Q71" s="60"/>
      <c r="R71" s="60">
        <f>IF(SUMIF('regrets 6'!$Q71:$U71, "&gt;0") &gt; 0, MAX('regrets 6'!R71, 0) / SUMIF('regrets 6'!$Q71:$U71, "&gt;0"), 1 / COUNT('regrets 6'!$Q71:$U71))</f>
        <v>0.5</v>
      </c>
      <c r="S71" s="60">
        <f>IF(SUMIF('regrets 6'!$Q71:$U71, "&gt;0") &gt; 0, MAX('regrets 6'!S71, 0) / SUMIF('regrets 6'!$Q71:$U71, "&gt;0"), 1 / COUNT('regrets 6'!$Q71:$U71))</f>
        <v>0.5</v>
      </c>
      <c r="T71" s="62"/>
      <c r="U71" s="90"/>
    </row>
    <row r="72" spans="1:21" ht="20" customHeight="1" x14ac:dyDescent="0.15">
      <c r="A72" s="12">
        <v>3</v>
      </c>
      <c r="B72" s="61">
        <f>IF(SUMIF('regrets 6'!$B72:$F72, "&gt;0") &gt; 0, MAX('regrets 6'!B72, 0) / SUMIF('regrets 6'!$B72:$F72, "&gt;0"), 1 / COUNT('regrets 6'!$B72:$F72))</f>
        <v>0.5</v>
      </c>
      <c r="C72" s="61">
        <f>IF(SUMIF('regrets 6'!$B72:$F72, "&gt;0") &gt; 0, MAX('regrets 6'!C72, 0) / SUMIF('regrets 6'!$B72:$F72, "&gt;0"), 1 / COUNT('regrets 6'!$B72:$F72))</f>
        <v>0.5</v>
      </c>
      <c r="D72" s="61"/>
      <c r="E72" s="62"/>
      <c r="F72" s="90"/>
      <c r="G72" s="60">
        <f>IF(SUMIF('regrets 6'!$G72:$K72, "&gt;0") &gt; 0, MAX('regrets 6'!G72, 0) / SUMIF('regrets 6'!$G72:$K72, "&gt;0"), 1 / COUNT('regrets 6'!$G72:$K72))</f>
        <v>0.5</v>
      </c>
      <c r="H72" s="60">
        <f>IF(SUMIF('regrets 6'!$G72:$K72, "&gt;0") &gt; 0, MAX('regrets 6'!H72, 0) / SUMIF('regrets 6'!$G72:$K72, "&gt;0"), 1 / COUNT('regrets 6'!$G72:$K72))</f>
        <v>0.5</v>
      </c>
      <c r="I72" s="61"/>
      <c r="J72" s="62"/>
      <c r="K72" s="90"/>
      <c r="L72" s="60">
        <f>IF(SUMIF('regrets 6'!$L72:$P72, "&gt;0") &gt; 0, MAX('regrets 6'!L72, 0) / SUMIF('regrets 6'!$L72:$P72, "&gt;0"), 1 / COUNT('regrets 6'!$L72:$P72))</f>
        <v>0.5</v>
      </c>
      <c r="M72" s="60">
        <f>IF(SUMIF('regrets 6'!$L72:$P72, "&gt;0") &gt; 0, MAX('regrets 6'!M72, 0) / SUMIF('regrets 6'!$L72:$P72, "&gt;0"), 1 / COUNT('regrets 6'!$L72:$P72))</f>
        <v>0.5</v>
      </c>
      <c r="N72" s="61"/>
      <c r="O72" s="62"/>
      <c r="P72" s="90"/>
      <c r="Q72" s="60">
        <f>IF(SUMIF('regrets 6'!$Q72:$U72, "&gt;0") &gt; 0, MAX('regrets 6'!Q72, 0) / SUMIF('regrets 6'!$Q72:$U72, "&gt;0"), 1 / COUNT('regrets 6'!$Q72:$U72))</f>
        <v>0.5</v>
      </c>
      <c r="R72" s="60">
        <f>IF(SUMIF('regrets 6'!$Q72:$U72, "&gt;0") &gt; 0, MAX('regrets 6'!R72, 0) / SUMIF('regrets 6'!$Q72:$U72, "&gt;0"), 1 / COUNT('regrets 6'!$Q72:$U72))</f>
        <v>0.5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f>IF(SUMIF('regrets 6'!$B73:$F73, "&gt;0") &gt; 0, MAX('regrets 6'!C73, 0) / SUMIF('regrets 6'!$B73:$F73, "&gt;0"), 1 / COUNT('regrets 6'!$B73:$F73))</f>
        <v>0.5</v>
      </c>
      <c r="D73" s="61">
        <f>IF(SUMIF('regrets 6'!$B73:$F73, "&gt;0") &gt; 0, MAX('regrets 6'!D73, 0) / SUMIF('regrets 6'!$B73:$F73, "&gt;0"), 1 / COUNT('regrets 6'!$B73:$F73))</f>
        <v>0.5</v>
      </c>
      <c r="E73" s="62"/>
      <c r="F73" s="90"/>
      <c r="G73" s="60"/>
      <c r="H73" s="60">
        <f>IF(SUMIF('regrets 6'!$G73:$K73, "&gt;0") &gt; 0, MAX('regrets 6'!H73, 0) / SUMIF('regrets 6'!$G73:$K73, "&gt;0"), 1 / COUNT('regrets 6'!$G73:$K73))</f>
        <v>0.5</v>
      </c>
      <c r="I73" s="60">
        <f>IF(SUMIF('regrets 6'!$G73:$K73, "&gt;0") &gt; 0, MAX('regrets 6'!I73, 0) / SUMIF('regrets 6'!$G73:$K73, "&gt;0"), 1 / COUNT('regrets 6'!$G73:$K73))</f>
        <v>0.5</v>
      </c>
      <c r="J73" s="62"/>
      <c r="K73" s="90"/>
      <c r="L73" s="60"/>
      <c r="M73" s="60">
        <f>IF(SUMIF('regrets 6'!$L73:$P73, "&gt;0") &gt; 0, MAX('regrets 6'!M73, 0) / SUMIF('regrets 6'!$L73:$P73, "&gt;0"), 1 / COUNT('regrets 6'!$L73:$P73))</f>
        <v>0.5</v>
      </c>
      <c r="N73" s="60">
        <f>IF(SUMIF('regrets 6'!$L73:$P73, "&gt;0") &gt; 0, MAX('regrets 6'!N73, 0) / SUMIF('regrets 6'!$L73:$P73, "&gt;0"), 1 / COUNT('regrets 6'!$L73:$P73))</f>
        <v>0.5</v>
      </c>
      <c r="O73" s="62"/>
      <c r="P73" s="90"/>
      <c r="Q73" s="60"/>
      <c r="R73" s="60">
        <f>IF(SUMIF('regrets 6'!$Q73:$U73, "&gt;0") &gt; 0, MAX('regrets 6'!R73, 0) / SUMIF('regrets 6'!$Q73:$U73, "&gt;0"), 1 / COUNT('regrets 6'!$Q73:$U73))</f>
        <v>0.5</v>
      </c>
      <c r="S73" s="60">
        <f>IF(SUMIF('regrets 6'!$Q73:$U73, "&gt;0") &gt; 0, MAX('regrets 6'!S73, 0) / SUMIF('regrets 6'!$Q73:$U73, "&gt;0"), 1 / COUNT('regrets 6'!$Q73:$U73))</f>
        <v>0.5</v>
      </c>
      <c r="T73" s="62"/>
      <c r="U73" s="90"/>
    </row>
    <row r="74" spans="1:21" ht="20" customHeight="1" x14ac:dyDescent="0.15">
      <c r="A74" s="12">
        <v>5</v>
      </c>
      <c r="B74" s="61">
        <f>IF(SUMIF('regrets 6'!$B74:$F74, "&gt;0") &gt; 0, MAX('regrets 6'!B74, 0) / SUMIF('regrets 6'!$B74:$F74, "&gt;0"), 1 / COUNT('regrets 6'!$B74:$F74))</f>
        <v>0.5</v>
      </c>
      <c r="C74" s="61">
        <f>IF(SUMIF('regrets 6'!$B74:$F74, "&gt;0") &gt; 0, MAX('regrets 6'!C74, 0) / SUMIF('regrets 6'!$B74:$F74, "&gt;0"), 1 / COUNT('regrets 6'!$B74:$F74))</f>
        <v>0.5</v>
      </c>
      <c r="D74" s="61"/>
      <c r="E74" s="62"/>
      <c r="F74" s="90"/>
      <c r="G74" s="60">
        <f>IF(SUMIF('regrets 6'!$G74:$K74, "&gt;0") &gt; 0, MAX('regrets 6'!G74, 0) / SUMIF('regrets 6'!$G74:$K74, "&gt;0"), 1 / COUNT('regrets 6'!$G74:$K74))</f>
        <v>0.5</v>
      </c>
      <c r="H74" s="60">
        <f>IF(SUMIF('regrets 6'!$G74:$K74, "&gt;0") &gt; 0, MAX('regrets 6'!H74, 0) / SUMIF('regrets 6'!$G74:$K74, "&gt;0"), 1 / COUNT('regrets 6'!$G74:$K74))</f>
        <v>0.5</v>
      </c>
      <c r="I74" s="61"/>
      <c r="J74" s="62"/>
      <c r="K74" s="90"/>
      <c r="L74" s="60">
        <f>IF(SUMIF('regrets 6'!$L74:$P74, "&gt;0") &gt; 0, MAX('regrets 6'!L74, 0) / SUMIF('regrets 6'!$L74:$P74, "&gt;0"), 1 / COUNT('regrets 6'!$L74:$P74))</f>
        <v>0.5</v>
      </c>
      <c r="M74" s="60">
        <f>IF(SUMIF('regrets 6'!$L74:$P74, "&gt;0") &gt; 0, MAX('regrets 6'!M74, 0) / SUMIF('regrets 6'!$L74:$P74, "&gt;0"), 1 / COUNT('regrets 6'!$L74:$P74))</f>
        <v>0.5</v>
      </c>
      <c r="N74" s="61"/>
      <c r="O74" s="62"/>
      <c r="P74" s="90"/>
      <c r="Q74" s="60">
        <f>IF(SUMIF('regrets 6'!$Q74:$U74, "&gt;0") &gt; 0, MAX('regrets 6'!Q74, 0) / SUMIF('regrets 6'!$Q74:$U74, "&gt;0"), 1 / COUNT('regrets 6'!$Q74:$U74))</f>
        <v>0.5</v>
      </c>
      <c r="R74" s="60">
        <f>IF(SUMIF('regrets 6'!$Q74:$U74, "&gt;0") &gt; 0, MAX('regrets 6'!R74, 0) / SUMIF('regrets 6'!$Q74:$U74, "&gt;0"), 1 / COUNT('regrets 6'!$Q74:$U74))</f>
        <v>0.5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f>IF(SUMIF('regrets 6'!$B75:$F75, "&gt;0") &gt; 0, MAX('regrets 6'!C75, 0) / SUMIF('regrets 6'!$B75:$F75, "&gt;0"), 1 / COUNT('regrets 6'!$B75:$F75))</f>
        <v>0.5</v>
      </c>
      <c r="D75" s="61">
        <f>IF(SUMIF('regrets 6'!$B75:$F75, "&gt;0") &gt; 0, MAX('regrets 6'!D75, 0) / SUMIF('regrets 6'!$B75:$F75, "&gt;0"), 1 / COUNT('regrets 6'!$B75:$F75))</f>
        <v>0.5</v>
      </c>
      <c r="E75" s="62"/>
      <c r="F75" s="90"/>
      <c r="G75" s="60"/>
      <c r="H75" s="60">
        <f>IF(SUMIF('regrets 6'!$G75:$K75, "&gt;0") &gt; 0, MAX('regrets 6'!H75, 0) / SUMIF('regrets 6'!$G75:$K75, "&gt;0"), 1 / COUNT('regrets 6'!$G75:$K75))</f>
        <v>0.5</v>
      </c>
      <c r="I75" s="60">
        <f>IF(SUMIF('regrets 6'!$G75:$K75, "&gt;0") &gt; 0, MAX('regrets 6'!I75, 0) / SUMIF('regrets 6'!$G75:$K75, "&gt;0"), 1 / COUNT('regrets 6'!$G75:$K75))</f>
        <v>0.5</v>
      </c>
      <c r="J75" s="62"/>
      <c r="K75" s="90"/>
      <c r="L75" s="60"/>
      <c r="M75" s="60">
        <f>IF(SUMIF('regrets 6'!$L75:$P75, "&gt;0") &gt; 0, MAX('regrets 6'!M75, 0) / SUMIF('regrets 6'!$L75:$P75, "&gt;0"), 1 / COUNT('regrets 6'!$L75:$P75))</f>
        <v>0.5</v>
      </c>
      <c r="N75" s="60">
        <f>IF(SUMIF('regrets 6'!$L75:$P75, "&gt;0") &gt; 0, MAX('regrets 6'!N75, 0) / SUMIF('regrets 6'!$L75:$P75, "&gt;0"), 1 / COUNT('regrets 6'!$L75:$P75))</f>
        <v>0.5</v>
      </c>
      <c r="O75" s="62"/>
      <c r="P75" s="90"/>
      <c r="Q75" s="60"/>
      <c r="R75" s="60">
        <f>IF(SUMIF('regrets 6'!$Q75:$U75, "&gt;0") &gt; 0, MAX('regrets 6'!R75, 0) / SUMIF('regrets 6'!$Q75:$U75, "&gt;0"), 1 / COUNT('regrets 6'!$Q75:$U75))</f>
        <v>0.5</v>
      </c>
      <c r="S75" s="60">
        <f>IF(SUMIF('regrets 6'!$Q75:$U75, "&gt;0") &gt; 0, MAX('regrets 6'!S75, 0) / SUMIF('regrets 6'!$Q75:$U75, "&gt;0"), 1 / COUNT('regrets 6'!$Q75:$U75))</f>
        <v>0.5</v>
      </c>
      <c r="T75" s="62"/>
      <c r="U75" s="90"/>
    </row>
    <row r="76" spans="1:21" ht="20" customHeight="1" x14ac:dyDescent="0.15">
      <c r="A76" s="12">
        <v>7</v>
      </c>
      <c r="B76" s="61">
        <f>IF(SUMIF('regrets 6'!$B76:$F76, "&gt;0") &gt; 0, MAX('regrets 6'!B76, 0) / SUMIF('regrets 6'!$B76:$F76, "&gt;0"), 1 / COUNT('regrets 6'!$B76:$F76))</f>
        <v>0.5</v>
      </c>
      <c r="C76" s="61">
        <f>IF(SUMIF('regrets 6'!$B76:$F76, "&gt;0") &gt; 0, MAX('regrets 6'!C76, 0) / SUMIF('regrets 6'!$B76:$F76, "&gt;0"), 1 / COUNT('regrets 6'!$B76:$F76))</f>
        <v>0.5</v>
      </c>
      <c r="D76" s="61"/>
      <c r="E76" s="62"/>
      <c r="F76" s="90"/>
      <c r="G76" s="60">
        <f>IF(SUMIF('regrets 6'!$G76:$K76, "&gt;0") &gt; 0, MAX('regrets 6'!G76, 0) / SUMIF('regrets 6'!$G76:$K76, "&gt;0"), 1 / COUNT('regrets 6'!$G76:$K76))</f>
        <v>0.5</v>
      </c>
      <c r="H76" s="60">
        <f>IF(SUMIF('regrets 6'!$G76:$K76, "&gt;0") &gt; 0, MAX('regrets 6'!H76, 0) / SUMIF('regrets 6'!$G76:$K76, "&gt;0"), 1 / COUNT('regrets 6'!$G76:$K76))</f>
        <v>0.5</v>
      </c>
      <c r="I76" s="61"/>
      <c r="J76" s="62"/>
      <c r="K76" s="90"/>
      <c r="L76" s="60">
        <f>IF(SUMIF('regrets 6'!$L76:$P76, "&gt;0") &gt; 0, MAX('regrets 6'!L76, 0) / SUMIF('regrets 6'!$L76:$P76, "&gt;0"), 1 / COUNT('regrets 6'!$L76:$P76))</f>
        <v>0.5</v>
      </c>
      <c r="M76" s="60">
        <f>IF(SUMIF('regrets 6'!$L76:$P76, "&gt;0") &gt; 0, MAX('regrets 6'!M76, 0) / SUMIF('regrets 6'!$L76:$P76, "&gt;0"), 1 / COUNT('regrets 6'!$L76:$P76))</f>
        <v>0.5</v>
      </c>
      <c r="N76" s="61"/>
      <c r="O76" s="62"/>
      <c r="P76" s="90"/>
      <c r="Q76" s="60">
        <f>IF(SUMIF('regrets 6'!$Q76:$U76, "&gt;0") &gt; 0, MAX('regrets 6'!Q76, 0) / SUMIF('regrets 6'!$Q76:$U76, "&gt;0"), 1 / COUNT('regrets 6'!$Q76:$U76))</f>
        <v>0.5</v>
      </c>
      <c r="R76" s="60">
        <f>IF(SUMIF('regrets 6'!$Q76:$U76, "&gt;0") &gt; 0, MAX('regrets 6'!R76, 0) / SUMIF('regrets 6'!$Q76:$U76, "&gt;0"), 1 / COUNT('regrets 6'!$Q76:$U76))</f>
        <v>0.5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f>IF(SUMIF('regrets 6'!$B77:$F77, "&gt;0") &gt; 0, MAX('regrets 6'!C77, 0) / SUMIF('regrets 6'!$B77:$F77, "&gt;0"), 1 / COUNT('regrets 6'!$B77:$F77))</f>
        <v>0.5</v>
      </c>
      <c r="D77" s="61">
        <f>IF(SUMIF('regrets 6'!$B77:$F77, "&gt;0") &gt; 0, MAX('regrets 6'!D77, 0) / SUMIF('regrets 6'!$B77:$F77, "&gt;0"), 1 / COUNT('regrets 6'!$B77:$F77))</f>
        <v>0.5</v>
      </c>
      <c r="E77" s="62"/>
      <c r="F77" s="90"/>
      <c r="G77" s="60"/>
      <c r="H77" s="60">
        <f>IF(SUMIF('regrets 6'!$G77:$K77, "&gt;0") &gt; 0, MAX('regrets 6'!H77, 0) / SUMIF('regrets 6'!$G77:$K77, "&gt;0"), 1 / COUNT('regrets 6'!$G77:$K77))</f>
        <v>0.5</v>
      </c>
      <c r="I77" s="60">
        <f>IF(SUMIF('regrets 6'!$G77:$K77, "&gt;0") &gt; 0, MAX('regrets 6'!I77, 0) / SUMIF('regrets 6'!$G77:$K77, "&gt;0"), 1 / COUNT('regrets 6'!$G77:$K77))</f>
        <v>0.5</v>
      </c>
      <c r="J77" s="62"/>
      <c r="K77" s="90"/>
      <c r="L77" s="60"/>
      <c r="M77" s="60">
        <f>IF(SUMIF('regrets 6'!$L77:$P77, "&gt;0") &gt; 0, MAX('regrets 6'!M77, 0) / SUMIF('regrets 6'!$L77:$P77, "&gt;0"), 1 / COUNT('regrets 6'!$L77:$P77))</f>
        <v>0.5</v>
      </c>
      <c r="N77" s="60">
        <f>IF(SUMIF('regrets 6'!$L77:$P77, "&gt;0") &gt; 0, MAX('regrets 6'!N77, 0) / SUMIF('regrets 6'!$L77:$P77, "&gt;0"), 1 / COUNT('regrets 6'!$L77:$P77))</f>
        <v>0.5</v>
      </c>
      <c r="O77" s="62"/>
      <c r="P77" s="90"/>
      <c r="Q77" s="60"/>
      <c r="R77" s="60">
        <f>IF(SUMIF('regrets 6'!$Q77:$U77, "&gt;0") &gt; 0, MAX('regrets 6'!R77, 0) / SUMIF('regrets 6'!$Q77:$U77, "&gt;0"), 1 / COUNT('regrets 6'!$Q77:$U77))</f>
        <v>0.5</v>
      </c>
      <c r="S77" s="60">
        <f>IF(SUMIF('regrets 6'!$Q77:$U77, "&gt;0") &gt; 0, MAX('regrets 6'!S77, 0) / SUMIF('regrets 6'!$Q77:$U77, "&gt;0"), 1 / COUNT('regrets 6'!$Q77:$U77))</f>
        <v>0.5</v>
      </c>
      <c r="T77" s="62"/>
      <c r="U77" s="90"/>
    </row>
    <row r="78" spans="1:21" ht="20" customHeight="1" x14ac:dyDescent="0.15">
      <c r="A78" s="12">
        <v>9</v>
      </c>
      <c r="B78" s="61">
        <f>IF(SUMIF('regrets 6'!$B78:$F78, "&gt;0") &gt; 0, MAX('regrets 6'!B78, 0) / SUMIF('regrets 6'!$B78:$F78, "&gt;0"), 1 / COUNT('regrets 6'!$B78:$F78))</f>
        <v>0.5</v>
      </c>
      <c r="C78" s="61">
        <f>IF(SUMIF('regrets 6'!$B78:$F78, "&gt;0") &gt; 0, MAX('regrets 6'!C78, 0) / SUMIF('regrets 6'!$B78:$F78, "&gt;0"), 1 / COUNT('regrets 6'!$B78:$F78))</f>
        <v>0.5</v>
      </c>
      <c r="D78" s="61"/>
      <c r="E78" s="62"/>
      <c r="F78" s="90"/>
      <c r="G78" s="60">
        <f>IF(SUMIF('regrets 6'!$G78:$K78, "&gt;0") &gt; 0, MAX('regrets 6'!G78, 0) / SUMIF('regrets 6'!$G78:$K78, "&gt;0"), 1 / COUNT('regrets 6'!$G78:$K78))</f>
        <v>0.5</v>
      </c>
      <c r="H78" s="60">
        <f>IF(SUMIF('regrets 6'!$G78:$K78, "&gt;0") &gt; 0, MAX('regrets 6'!H78, 0) / SUMIF('regrets 6'!$G78:$K78, "&gt;0"), 1 / COUNT('regrets 6'!$G78:$K78))</f>
        <v>0.5</v>
      </c>
      <c r="I78" s="61"/>
      <c r="J78" s="62"/>
      <c r="K78" s="90"/>
      <c r="L78" s="60">
        <f>IF(SUMIF('regrets 6'!$L78:$P78, "&gt;0") &gt; 0, MAX('regrets 6'!L78, 0) / SUMIF('regrets 6'!$L78:$P78, "&gt;0"), 1 / COUNT('regrets 6'!$L78:$P78))</f>
        <v>0.5</v>
      </c>
      <c r="M78" s="60">
        <f>IF(SUMIF('regrets 6'!$L78:$P78, "&gt;0") &gt; 0, MAX('regrets 6'!M78, 0) / SUMIF('regrets 6'!$L78:$P78, "&gt;0"), 1 / COUNT('regrets 6'!$L78:$P78))</f>
        <v>0.5</v>
      </c>
      <c r="N78" s="61"/>
      <c r="O78" s="62"/>
      <c r="P78" s="90"/>
      <c r="Q78" s="60">
        <f>IF(SUMIF('regrets 6'!$Q78:$U78, "&gt;0") &gt; 0, MAX('regrets 6'!Q78, 0) / SUMIF('regrets 6'!$Q78:$U78, "&gt;0"), 1 / COUNT('regrets 6'!$Q78:$U78))</f>
        <v>0.5</v>
      </c>
      <c r="R78" s="60">
        <f>IF(SUMIF('regrets 6'!$Q78:$U78, "&gt;0") &gt; 0, MAX('regrets 6'!R78, 0) / SUMIF('regrets 6'!$Q78:$U78, "&gt;0"), 1 / COUNT('regrets 6'!$Q78:$U78))</f>
        <v>0.5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f>IF(SUMIF('regrets 6'!$B79:$F79, "&gt;0") &gt; 0, MAX('regrets 6'!C79, 0) / SUMIF('regrets 6'!$B79:$F79, "&gt;0"), 1 / COUNT('regrets 6'!$B79:$F79))</f>
        <v>0.5</v>
      </c>
      <c r="D79" s="61">
        <f>IF(SUMIF('regrets 6'!$B79:$F79, "&gt;0") &gt; 0, MAX('regrets 6'!D79, 0) / SUMIF('regrets 6'!$B79:$F79, "&gt;0"), 1 / COUNT('regrets 6'!$B79:$F79))</f>
        <v>0.5</v>
      </c>
      <c r="E79" s="62"/>
      <c r="F79" s="90"/>
      <c r="G79" s="60"/>
      <c r="H79" s="60">
        <f>IF(SUMIF('regrets 6'!$G79:$K79, "&gt;0") &gt; 0, MAX('regrets 6'!H79, 0) / SUMIF('regrets 6'!$G79:$K79, "&gt;0"), 1 / COUNT('regrets 6'!$G79:$K79))</f>
        <v>0.5</v>
      </c>
      <c r="I79" s="60">
        <f>IF(SUMIF('regrets 6'!$G79:$K79, "&gt;0") &gt; 0, MAX('regrets 6'!I79, 0) / SUMIF('regrets 6'!$G79:$K79, "&gt;0"), 1 / COUNT('regrets 6'!$G79:$K79))</f>
        <v>0.5</v>
      </c>
      <c r="J79" s="62"/>
      <c r="K79" s="90"/>
      <c r="L79" s="60"/>
      <c r="M79" s="60">
        <f>IF(SUMIF('regrets 6'!$L79:$P79, "&gt;0") &gt; 0, MAX('regrets 6'!M79, 0) / SUMIF('regrets 6'!$L79:$P79, "&gt;0"), 1 / COUNT('regrets 6'!$L79:$P79))</f>
        <v>0.5</v>
      </c>
      <c r="N79" s="60">
        <f>IF(SUMIF('regrets 6'!$L79:$P79, "&gt;0") &gt; 0, MAX('regrets 6'!N79, 0) / SUMIF('regrets 6'!$L79:$P79, "&gt;0"), 1 / COUNT('regrets 6'!$L79:$P79))</f>
        <v>0.5</v>
      </c>
      <c r="O79" s="62"/>
      <c r="P79" s="90"/>
      <c r="Q79" s="60"/>
      <c r="R79" s="60">
        <f>IF(SUMIF('regrets 6'!$Q79:$U79, "&gt;0") &gt; 0, MAX('regrets 6'!R79, 0) / SUMIF('regrets 6'!$Q79:$U79, "&gt;0"), 1 / COUNT('regrets 6'!$Q79:$U79))</f>
        <v>0.5</v>
      </c>
      <c r="S79" s="60">
        <f>IF(SUMIF('regrets 6'!$Q79:$U79, "&gt;0") &gt; 0, MAX('regrets 6'!S79, 0) / SUMIF('regrets 6'!$Q79:$U79, "&gt;0"), 1 / COUNT('regrets 6'!$Q79:$U79))</f>
        <v>0.5</v>
      </c>
      <c r="T79" s="62"/>
      <c r="U79" s="90"/>
    </row>
    <row r="80" spans="1:21" ht="20" customHeight="1" x14ac:dyDescent="0.15">
      <c r="A80" s="12">
        <v>11</v>
      </c>
      <c r="B80" s="61">
        <f>IF(SUMIF('regrets 6'!$B80:$F80, "&gt;0") &gt; 0, MAX('regrets 6'!B80, 0) / SUMIF('regrets 6'!$B80:$F80, "&gt;0"), 1 / COUNT('regrets 6'!$B80:$F80))</f>
        <v>0.5</v>
      </c>
      <c r="C80" s="61">
        <f>IF(SUMIF('regrets 6'!$B80:$F80, "&gt;0") &gt; 0, MAX('regrets 6'!C80, 0) / SUMIF('regrets 6'!$B80:$F80, "&gt;0"), 1 / COUNT('regrets 6'!$B80:$F80))</f>
        <v>0.5</v>
      </c>
      <c r="D80" s="61"/>
      <c r="E80" s="62"/>
      <c r="F80" s="90"/>
      <c r="G80" s="60">
        <f>IF(SUMIF('regrets 6'!$G80:$K80, "&gt;0") &gt; 0, MAX('regrets 6'!G80, 0) / SUMIF('regrets 6'!$G80:$K80, "&gt;0"), 1 / COUNT('regrets 6'!$G80:$K80))</f>
        <v>0.5</v>
      </c>
      <c r="H80" s="60">
        <f>IF(SUMIF('regrets 6'!$G80:$K80, "&gt;0") &gt; 0, MAX('regrets 6'!H80, 0) / SUMIF('regrets 6'!$G80:$K80, "&gt;0"), 1 / COUNT('regrets 6'!$G80:$K80))</f>
        <v>0.5</v>
      </c>
      <c r="I80" s="61"/>
      <c r="J80" s="62"/>
      <c r="K80" s="90"/>
      <c r="L80" s="60">
        <f>IF(SUMIF('regrets 6'!$L80:$P80, "&gt;0") &gt; 0, MAX('regrets 6'!L80, 0) / SUMIF('regrets 6'!$L80:$P80, "&gt;0"), 1 / COUNT('regrets 6'!$L80:$P80))</f>
        <v>0.5</v>
      </c>
      <c r="M80" s="60">
        <f>IF(SUMIF('regrets 6'!$L80:$P80, "&gt;0") &gt; 0, MAX('regrets 6'!M80, 0) / SUMIF('regrets 6'!$L80:$P80, "&gt;0"), 1 / COUNT('regrets 6'!$L80:$P80))</f>
        <v>0.5</v>
      </c>
      <c r="N80" s="61"/>
      <c r="O80" s="62"/>
      <c r="P80" s="90"/>
      <c r="Q80" s="60">
        <f>IF(SUMIF('regrets 6'!$Q80:$U80, "&gt;0") &gt; 0, MAX('regrets 6'!Q80, 0) / SUMIF('regrets 6'!$Q80:$U80, "&gt;0"), 1 / COUNT('regrets 6'!$Q80:$U80))</f>
        <v>0.5</v>
      </c>
      <c r="R80" s="60">
        <f>IF(SUMIF('regrets 6'!$Q80:$U80, "&gt;0") &gt; 0, MAX('regrets 6'!R80, 0) / SUMIF('regrets 6'!$Q80:$U80, "&gt;0"), 1 / COUNT('regrets 6'!$Q80:$U80))</f>
        <v>0.5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f>IF(SUMIF('regrets 6'!$B81:$F81, "&gt;0") &gt; 0, MAX('regrets 6'!C81, 0) / SUMIF('regrets 6'!$B81:$F81, "&gt;0"), 1 / COUNT('regrets 6'!$B81:$F81))</f>
        <v>0.5</v>
      </c>
      <c r="D81" s="61">
        <f>IF(SUMIF('regrets 6'!$B81:$F81, "&gt;0") &gt; 0, MAX('regrets 6'!D81, 0) / SUMIF('regrets 6'!$B81:$F81, "&gt;0"), 1 / COUNT('regrets 6'!$B81:$F81))</f>
        <v>0.5</v>
      </c>
      <c r="E81" s="62"/>
      <c r="F81" s="90"/>
      <c r="G81" s="60"/>
      <c r="H81" s="60">
        <f>IF(SUMIF('regrets 6'!$G81:$K81, "&gt;0") &gt; 0, MAX('regrets 6'!H81, 0) / SUMIF('regrets 6'!$G81:$K81, "&gt;0"), 1 / COUNT('regrets 6'!$G81:$K81))</f>
        <v>0.5</v>
      </c>
      <c r="I81" s="60">
        <f>IF(SUMIF('regrets 6'!$G81:$K81, "&gt;0") &gt; 0, MAX('regrets 6'!I81, 0) / SUMIF('regrets 6'!$G81:$K81, "&gt;0"), 1 / COUNT('regrets 6'!$G81:$K81))</f>
        <v>0.5</v>
      </c>
      <c r="J81" s="62"/>
      <c r="K81" s="90"/>
      <c r="L81" s="60"/>
      <c r="M81" s="60">
        <f>IF(SUMIF('regrets 6'!$L81:$P81, "&gt;0") &gt; 0, MAX('regrets 6'!M81, 0) / SUMIF('regrets 6'!$L81:$P81, "&gt;0"), 1 / COUNT('regrets 6'!$L81:$P81))</f>
        <v>0</v>
      </c>
      <c r="N81" s="60">
        <f>IF(SUMIF('regrets 6'!$L81:$P81, "&gt;0") &gt; 0, MAX('regrets 6'!N81, 0) / SUMIF('regrets 6'!$L81:$P81, "&gt;0"), 1 / COUNT('regrets 6'!$L81:$P81))</f>
        <v>1</v>
      </c>
      <c r="O81" s="62"/>
      <c r="P81" s="90"/>
      <c r="Q81" s="60"/>
      <c r="R81" s="60">
        <f>IF(SUMIF('regrets 6'!$Q81:$U81, "&gt;0") &gt; 0, MAX('regrets 6'!R81, 0) / SUMIF('regrets 6'!$Q81:$U81, "&gt;0"), 1 / COUNT('regrets 6'!$Q81:$U81))</f>
        <v>0.5</v>
      </c>
      <c r="S81" s="60">
        <f>IF(SUMIF('regrets 6'!$Q81:$U81, "&gt;0") &gt; 0, MAX('regrets 6'!S81, 0) / SUMIF('regrets 6'!$Q81:$U81, "&gt;0"), 1 / COUNT('regrets 6'!$Q81:$U81))</f>
        <v>0.5</v>
      </c>
      <c r="T81" s="62"/>
      <c r="U81" s="90"/>
    </row>
    <row r="82" spans="1:21" ht="20" customHeight="1" x14ac:dyDescent="0.15">
      <c r="A82" s="12">
        <v>13</v>
      </c>
      <c r="B82" s="61">
        <f>IF(SUMIF('regrets 6'!$B82:$F82, "&gt;0") &gt; 0, MAX('regrets 6'!B82, 0) / SUMIF('regrets 6'!$B82:$F82, "&gt;0"), 1 / COUNT('regrets 6'!$B82:$F82))</f>
        <v>0.5</v>
      </c>
      <c r="C82" s="61">
        <f>IF(SUMIF('regrets 6'!$B82:$F82, "&gt;0") &gt; 0, MAX('regrets 6'!C82, 0) / SUMIF('regrets 6'!$B82:$F82, "&gt;0"), 1 / COUNT('regrets 6'!$B82:$F82))</f>
        <v>0.5</v>
      </c>
      <c r="D82" s="61"/>
      <c r="E82" s="62"/>
      <c r="F82" s="90"/>
      <c r="G82" s="60">
        <f>IF(SUMIF('regrets 6'!$G82:$K82, "&gt;0") &gt; 0, MAX('regrets 6'!G82, 0) / SUMIF('regrets 6'!$G82:$K82, "&gt;0"), 1 / COUNT('regrets 6'!$G82:$K82))</f>
        <v>0.5</v>
      </c>
      <c r="H82" s="60">
        <f>IF(SUMIF('regrets 6'!$G82:$K82, "&gt;0") &gt; 0, MAX('regrets 6'!H82, 0) / SUMIF('regrets 6'!$G82:$K82, "&gt;0"), 1 / COUNT('regrets 6'!$G82:$K82))</f>
        <v>0.5</v>
      </c>
      <c r="I82" s="61"/>
      <c r="J82" s="62"/>
      <c r="K82" s="90"/>
      <c r="L82" s="60">
        <f>IF(SUMIF('regrets 6'!$L82:$P82, "&gt;0") &gt; 0, MAX('regrets 6'!L82, 0) / SUMIF('regrets 6'!$L82:$P82, "&gt;0"), 1 / COUNT('regrets 6'!$L82:$P82))</f>
        <v>0.5</v>
      </c>
      <c r="M82" s="60">
        <f>IF(SUMIF('regrets 6'!$L82:$P82, "&gt;0") &gt; 0, MAX('regrets 6'!M82, 0) / SUMIF('regrets 6'!$L82:$P82, "&gt;0"), 1 / COUNT('regrets 6'!$L82:$P82))</f>
        <v>0.5</v>
      </c>
      <c r="N82" s="61"/>
      <c r="O82" s="62"/>
      <c r="P82" s="90"/>
      <c r="Q82" s="60">
        <f>IF(SUMIF('regrets 6'!$Q82:$U82, "&gt;0") &gt; 0, MAX('regrets 6'!Q82, 0) / SUMIF('regrets 6'!$Q82:$U82, "&gt;0"), 1 / COUNT('regrets 6'!$Q82:$U82))</f>
        <v>0.5</v>
      </c>
      <c r="R82" s="60">
        <f>IF(SUMIF('regrets 6'!$Q82:$U82, "&gt;0") &gt; 0, MAX('regrets 6'!R82, 0) / SUMIF('regrets 6'!$Q82:$U82, "&gt;0"), 1 / COUNT('regrets 6'!$Q82:$U82))</f>
        <v>0.5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f>IF(SUMIF('regrets 6'!$B83:$F83, "&gt;0") &gt; 0, MAX('regrets 6'!C83, 0) / SUMIF('regrets 6'!$B83:$F83, "&gt;0"), 1 / COUNT('regrets 6'!$B83:$F83))</f>
        <v>0.5</v>
      </c>
      <c r="D83" s="61">
        <f>IF(SUMIF('regrets 6'!$B83:$F83, "&gt;0") &gt; 0, MAX('regrets 6'!D83, 0) / SUMIF('regrets 6'!$B83:$F83, "&gt;0"), 1 / COUNT('regrets 6'!$B83:$F83))</f>
        <v>0.5</v>
      </c>
      <c r="E83" s="62"/>
      <c r="F83" s="90"/>
      <c r="G83" s="60"/>
      <c r="H83" s="60">
        <f>IF(SUMIF('regrets 6'!$G83:$K83, "&gt;0") &gt; 0, MAX('regrets 6'!H83, 0) / SUMIF('regrets 6'!$G83:$K83, "&gt;0"), 1 / COUNT('regrets 6'!$G83:$K83))</f>
        <v>0.5</v>
      </c>
      <c r="I83" s="60">
        <f>IF(SUMIF('regrets 6'!$G83:$K83, "&gt;0") &gt; 0, MAX('regrets 6'!I83, 0) / SUMIF('regrets 6'!$G83:$K83, "&gt;0"), 1 / COUNT('regrets 6'!$G83:$K83))</f>
        <v>0.5</v>
      </c>
      <c r="J83" s="62"/>
      <c r="K83" s="90"/>
      <c r="L83" s="60"/>
      <c r="M83" s="60">
        <f>IF(SUMIF('regrets 6'!$L83:$P83, "&gt;0") &gt; 0, MAX('regrets 6'!M83, 0) / SUMIF('regrets 6'!$L83:$P83, "&gt;0"), 1 / COUNT('regrets 6'!$L83:$P83))</f>
        <v>0.5</v>
      </c>
      <c r="N83" s="60">
        <f>IF(SUMIF('regrets 6'!$L83:$P83, "&gt;0") &gt; 0, MAX('regrets 6'!N83, 0) / SUMIF('regrets 6'!$L83:$P83, "&gt;0"), 1 / COUNT('regrets 6'!$L83:$P83))</f>
        <v>0.5</v>
      </c>
      <c r="O83" s="62"/>
      <c r="P83" s="90"/>
      <c r="Q83" s="60"/>
      <c r="R83" s="60">
        <f>IF(SUMIF('regrets 6'!$Q83:$U83, "&gt;0") &gt; 0, MAX('regrets 6'!R83, 0) / SUMIF('regrets 6'!$Q83:$U83, "&gt;0"), 1 / COUNT('regrets 6'!$Q83:$U83))</f>
        <v>0.5</v>
      </c>
      <c r="S83" s="60">
        <f>IF(SUMIF('regrets 6'!$Q83:$U83, "&gt;0") &gt; 0, MAX('regrets 6'!S83, 0) / SUMIF('regrets 6'!$Q83:$U83, "&gt;0"), 1 / COUNT('regrets 6'!$Q83:$U83))</f>
        <v>0.5</v>
      </c>
      <c r="T83" s="62"/>
      <c r="U83" s="90"/>
    </row>
    <row r="84" spans="1:21" ht="20" customHeight="1" x14ac:dyDescent="0.15">
      <c r="A84" s="12">
        <v>15</v>
      </c>
      <c r="B84" s="61">
        <f>IF(SUMIF('regrets 6'!$B84:$F84, "&gt;0") &gt; 0, MAX('regrets 6'!B84, 0) / SUMIF('regrets 6'!$B84:$F84, "&gt;0"), 1 / COUNT('regrets 6'!$B84:$F84))</f>
        <v>0.5</v>
      </c>
      <c r="C84" s="61">
        <f>IF(SUMIF('regrets 6'!$B84:$F84, "&gt;0") &gt; 0, MAX('regrets 6'!C84, 0) / SUMIF('regrets 6'!$B84:$F84, "&gt;0"), 1 / COUNT('regrets 6'!$B84:$F84))</f>
        <v>0.5</v>
      </c>
      <c r="D84" s="61"/>
      <c r="E84" s="62"/>
      <c r="F84" s="90"/>
      <c r="G84" s="60">
        <f>IF(SUMIF('regrets 6'!$G84:$K84, "&gt;0") &gt; 0, MAX('regrets 6'!G84, 0) / SUMIF('regrets 6'!$G84:$K84, "&gt;0"), 1 / COUNT('regrets 6'!$G84:$K84))</f>
        <v>0.5</v>
      </c>
      <c r="H84" s="60">
        <f>IF(SUMIF('regrets 6'!$G84:$K84, "&gt;0") &gt; 0, MAX('regrets 6'!H84, 0) / SUMIF('regrets 6'!$G84:$K84, "&gt;0"), 1 / COUNT('regrets 6'!$G84:$K84))</f>
        <v>0.5</v>
      </c>
      <c r="I84" s="61"/>
      <c r="J84" s="62"/>
      <c r="K84" s="90"/>
      <c r="L84" s="60">
        <f>IF(SUMIF('regrets 6'!$L84:$P84, "&gt;0") &gt; 0, MAX('regrets 6'!L84, 0) / SUMIF('regrets 6'!$L84:$P84, "&gt;0"), 1 / COUNT('regrets 6'!$L84:$P84))</f>
        <v>0.5</v>
      </c>
      <c r="M84" s="60">
        <f>IF(SUMIF('regrets 6'!$L84:$P84, "&gt;0") &gt; 0, MAX('regrets 6'!M84, 0) / SUMIF('regrets 6'!$L84:$P84, "&gt;0"), 1 / COUNT('regrets 6'!$L84:$P84))</f>
        <v>0.5</v>
      </c>
      <c r="N84" s="61"/>
      <c r="O84" s="62"/>
      <c r="P84" s="90"/>
      <c r="Q84" s="60">
        <f>IF(SUMIF('regrets 6'!$Q84:$U84, "&gt;0") &gt; 0, MAX('regrets 6'!Q84, 0) / SUMIF('regrets 6'!$Q84:$U84, "&gt;0"), 1 / COUNT('regrets 6'!$Q84:$U84))</f>
        <v>0.5</v>
      </c>
      <c r="R84" s="60">
        <f>IF(SUMIF('regrets 6'!$Q84:$U84, "&gt;0") &gt; 0, MAX('regrets 6'!R84, 0) / SUMIF('regrets 6'!$Q84:$U84, "&gt;0"), 1 / COUNT('regrets 6'!$Q84:$U84))</f>
        <v>0.5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f>IF(SUMIF('regrets 6'!$B85:$F85, "&gt;0") &gt; 0, MAX('regrets 6'!C85, 0) / SUMIF('regrets 6'!$B85:$F85, "&gt;0"), 1 / COUNT('regrets 6'!$B85:$F85))</f>
        <v>0.5</v>
      </c>
      <c r="D85" s="61">
        <f>IF(SUMIF('regrets 6'!$B85:$F85, "&gt;0") &gt; 0, MAX('regrets 6'!D85, 0) / SUMIF('regrets 6'!$B85:$F85, "&gt;0"), 1 / COUNT('regrets 6'!$B85:$F85))</f>
        <v>0.5</v>
      </c>
      <c r="E85" s="62"/>
      <c r="F85" s="90"/>
      <c r="G85" s="60"/>
      <c r="H85" s="60">
        <f>IF(SUMIF('regrets 6'!$G85:$K85, "&gt;0") &gt; 0, MAX('regrets 6'!H85, 0) / SUMIF('regrets 6'!$G85:$K85, "&gt;0"), 1 / COUNT('regrets 6'!$G85:$K85))</f>
        <v>0.5</v>
      </c>
      <c r="I85" s="60">
        <f>IF(SUMIF('regrets 6'!$G85:$K85, "&gt;0") &gt; 0, MAX('regrets 6'!I85, 0) / SUMIF('regrets 6'!$G85:$K85, "&gt;0"), 1 / COUNT('regrets 6'!$G85:$K85))</f>
        <v>0.5</v>
      </c>
      <c r="J85" s="62"/>
      <c r="K85" s="90"/>
      <c r="L85" s="60"/>
      <c r="M85" s="60">
        <f>IF(SUMIF('regrets 6'!$L85:$P85, "&gt;0") &gt; 0, MAX('regrets 6'!M85, 0) / SUMIF('regrets 6'!$L85:$P85, "&gt;0"), 1 / COUNT('regrets 6'!$L85:$P85))</f>
        <v>0.5</v>
      </c>
      <c r="N85" s="60">
        <f>IF(SUMIF('regrets 6'!$L85:$P85, "&gt;0") &gt; 0, MAX('regrets 6'!N85, 0) / SUMIF('regrets 6'!$L85:$P85, "&gt;0"), 1 / COUNT('regrets 6'!$L85:$P85))</f>
        <v>0.5</v>
      </c>
      <c r="O85" s="62"/>
      <c r="P85" s="90"/>
      <c r="Q85" s="60"/>
      <c r="R85" s="60">
        <f>IF(SUMIF('regrets 6'!$Q85:$U85, "&gt;0") &gt; 0, MAX('regrets 6'!R85, 0) / SUMIF('regrets 6'!$Q85:$U85, "&gt;0"), 1 / COUNT('regrets 6'!$Q85:$U85))</f>
        <v>0.5</v>
      </c>
      <c r="S85" s="60">
        <f>IF(SUMIF('regrets 6'!$Q85:$U85, "&gt;0") &gt; 0, MAX('regrets 6'!S85, 0) / SUMIF('regrets 6'!$Q85:$U85, "&gt;0"), 1 / COUNT('regrets 6'!$Q85:$U85))</f>
        <v>0.5</v>
      </c>
      <c r="T85" s="62"/>
      <c r="U85" s="90"/>
    </row>
    <row r="86" spans="1:21" ht="20" customHeight="1" x14ac:dyDescent="0.15">
      <c r="A86" s="12">
        <v>17</v>
      </c>
      <c r="B86" s="61">
        <f>IF(SUMIF('regrets 6'!$B86:$F86, "&gt;0") &gt; 0, MAX('regrets 6'!B86, 0) / SUMIF('regrets 6'!$B86:$F86, "&gt;0"), 1 / COUNT('regrets 6'!$B86:$F86))</f>
        <v>0.5</v>
      </c>
      <c r="C86" s="61">
        <f>IF(SUMIF('regrets 6'!$B86:$F86, "&gt;0") &gt; 0, MAX('regrets 6'!C86, 0) / SUMIF('regrets 6'!$B86:$F86, "&gt;0"), 1 / COUNT('regrets 6'!$B86:$F86))</f>
        <v>0.5</v>
      </c>
      <c r="D86" s="61"/>
      <c r="E86" s="62"/>
      <c r="F86" s="90"/>
      <c r="G86" s="60">
        <f>IF(SUMIF('regrets 6'!$G86:$K86, "&gt;0") &gt; 0, MAX('regrets 6'!G86, 0) / SUMIF('regrets 6'!$G86:$K86, "&gt;0"), 1 / COUNT('regrets 6'!$G86:$K86))</f>
        <v>0.5</v>
      </c>
      <c r="H86" s="60">
        <f>IF(SUMIF('regrets 6'!$G86:$K86, "&gt;0") &gt; 0, MAX('regrets 6'!H86, 0) / SUMIF('regrets 6'!$G86:$K86, "&gt;0"), 1 / COUNT('regrets 6'!$G86:$K86))</f>
        <v>0.5</v>
      </c>
      <c r="I86" s="61"/>
      <c r="J86" s="62"/>
      <c r="K86" s="90"/>
      <c r="L86" s="60">
        <f>IF(SUMIF('regrets 6'!$L86:$P86, "&gt;0") &gt; 0, MAX('regrets 6'!L86, 0) / SUMIF('regrets 6'!$L86:$P86, "&gt;0"), 1 / COUNT('regrets 6'!$L86:$P86))</f>
        <v>0.5</v>
      </c>
      <c r="M86" s="60">
        <f>IF(SUMIF('regrets 6'!$L86:$P86, "&gt;0") &gt; 0, MAX('regrets 6'!M86, 0) / SUMIF('regrets 6'!$L86:$P86, "&gt;0"), 1 / COUNT('regrets 6'!$L86:$P86))</f>
        <v>0.5</v>
      </c>
      <c r="N86" s="61"/>
      <c r="O86" s="62"/>
      <c r="P86" s="90"/>
      <c r="Q86" s="60">
        <f>IF(SUMIF('regrets 6'!$Q86:$U86, "&gt;0") &gt; 0, MAX('regrets 6'!Q86, 0) / SUMIF('regrets 6'!$Q86:$U86, "&gt;0"), 1 / COUNT('regrets 6'!$Q86:$U86))</f>
        <v>0.5</v>
      </c>
      <c r="R86" s="60">
        <f>IF(SUMIF('regrets 6'!$Q86:$U86, "&gt;0") &gt; 0, MAX('regrets 6'!R86, 0) / SUMIF('regrets 6'!$Q86:$U86, "&gt;0"), 1 / COUNT('regrets 6'!$Q86:$U86))</f>
        <v>0.5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f>IF(SUMIF('regrets 6'!$B87:$F87, "&gt;0") &gt; 0, MAX('regrets 6'!C87, 0) / SUMIF('regrets 6'!$B87:$F87, "&gt;0"), 1 / COUNT('regrets 6'!$B87:$F87))</f>
        <v>0.5</v>
      </c>
      <c r="D87" s="61">
        <f>IF(SUMIF('regrets 6'!$B87:$F87, "&gt;0") &gt; 0, MAX('regrets 6'!D87, 0) / SUMIF('regrets 6'!$B87:$F87, "&gt;0"), 1 / COUNT('regrets 6'!$B87:$F87))</f>
        <v>0.5</v>
      </c>
      <c r="E87" s="62"/>
      <c r="F87" s="90"/>
      <c r="G87" s="60"/>
      <c r="H87" s="60">
        <f>IF(SUMIF('regrets 6'!$G87:$K87, "&gt;0") &gt; 0, MAX('regrets 6'!H87, 0) / SUMIF('regrets 6'!$G87:$K87, "&gt;0"), 1 / COUNT('regrets 6'!$G87:$K87))</f>
        <v>0.5</v>
      </c>
      <c r="I87" s="60">
        <f>IF(SUMIF('regrets 6'!$G87:$K87, "&gt;0") &gt; 0, MAX('regrets 6'!I87, 0) / SUMIF('regrets 6'!$G87:$K87, "&gt;0"), 1 / COUNT('regrets 6'!$G87:$K87))</f>
        <v>0.5</v>
      </c>
      <c r="J87" s="62"/>
      <c r="K87" s="90"/>
      <c r="L87" s="60"/>
      <c r="M87" s="60">
        <f>IF(SUMIF('regrets 6'!$L87:$P87, "&gt;0") &gt; 0, MAX('regrets 6'!M87, 0) / SUMIF('regrets 6'!$L87:$P87, "&gt;0"), 1 / COUNT('regrets 6'!$L87:$P87))</f>
        <v>0.5</v>
      </c>
      <c r="N87" s="60">
        <f>IF(SUMIF('regrets 6'!$L87:$P87, "&gt;0") &gt; 0, MAX('regrets 6'!N87, 0) / SUMIF('regrets 6'!$L87:$P87, "&gt;0"), 1 / COUNT('regrets 6'!$L87:$P87))</f>
        <v>0.5</v>
      </c>
      <c r="O87" s="62"/>
      <c r="P87" s="90"/>
      <c r="Q87" s="60"/>
      <c r="R87" s="60">
        <f>IF(SUMIF('regrets 6'!$Q87:$U87, "&gt;0") &gt; 0, MAX('regrets 6'!R87, 0) / SUMIF('regrets 6'!$Q87:$U87, "&gt;0"), 1 / COUNT('regrets 6'!$Q87:$U87))</f>
        <v>0.5</v>
      </c>
      <c r="S87" s="60">
        <f>IF(SUMIF('regrets 6'!$Q87:$U87, "&gt;0") &gt; 0, MAX('regrets 6'!S87, 0) / SUMIF('regrets 6'!$Q87:$U87, "&gt;0"), 1 / COUNT('regrets 6'!$Q87:$U87))</f>
        <v>0.5</v>
      </c>
      <c r="T87" s="62"/>
      <c r="U87" s="90"/>
    </row>
    <row r="88" spans="1:21" ht="20" customHeight="1" x14ac:dyDescent="0.15">
      <c r="A88" s="12">
        <v>19</v>
      </c>
      <c r="B88" s="61">
        <f>IF(SUMIF('regrets 6'!$B88:$F88, "&gt;0") &gt; 0, MAX('regrets 6'!B88, 0) / SUMIF('regrets 6'!$B88:$F88, "&gt;0"), 1 / COUNT('regrets 6'!$B88:$F88))</f>
        <v>0.5</v>
      </c>
      <c r="C88" s="61">
        <f>IF(SUMIF('regrets 6'!$B88:$F88, "&gt;0") &gt; 0, MAX('regrets 6'!C88, 0) / SUMIF('regrets 6'!$B88:$F88, "&gt;0"), 1 / COUNT('regrets 6'!$B88:$F88))</f>
        <v>0.5</v>
      </c>
      <c r="D88" s="61"/>
      <c r="E88" s="62"/>
      <c r="F88" s="90"/>
      <c r="G88" s="60">
        <f>IF(SUMIF('regrets 6'!$G88:$K88, "&gt;0") &gt; 0, MAX('regrets 6'!G88, 0) / SUMIF('regrets 6'!$G88:$K88, "&gt;0"), 1 / COUNT('regrets 6'!$G88:$K88))</f>
        <v>0.5</v>
      </c>
      <c r="H88" s="60">
        <f>IF(SUMIF('regrets 6'!$G88:$K88, "&gt;0") &gt; 0, MAX('regrets 6'!H88, 0) / SUMIF('regrets 6'!$G88:$K88, "&gt;0"), 1 / COUNT('regrets 6'!$G88:$K88))</f>
        <v>0.5</v>
      </c>
      <c r="I88" s="61"/>
      <c r="J88" s="62"/>
      <c r="K88" s="90"/>
      <c r="L88" s="60">
        <f>IF(SUMIF('regrets 6'!$L88:$P88, "&gt;0") &gt; 0, MAX('regrets 6'!L88, 0) / SUMIF('regrets 6'!$L88:$P88, "&gt;0"), 1 / COUNT('regrets 6'!$L88:$P88))</f>
        <v>0.5</v>
      </c>
      <c r="M88" s="60">
        <f>IF(SUMIF('regrets 6'!$L88:$P88, "&gt;0") &gt; 0, MAX('regrets 6'!M88, 0) / SUMIF('regrets 6'!$L88:$P88, "&gt;0"), 1 / COUNT('regrets 6'!$L88:$P88))</f>
        <v>0.5</v>
      </c>
      <c r="N88" s="61"/>
      <c r="O88" s="62"/>
      <c r="P88" s="90"/>
      <c r="Q88" s="60">
        <f>IF(SUMIF('regrets 6'!$Q88:$U88, "&gt;0") &gt; 0, MAX('regrets 6'!Q88, 0) / SUMIF('regrets 6'!$Q88:$U88, "&gt;0"), 1 / COUNT('regrets 6'!$Q88:$U88))</f>
        <v>0.5</v>
      </c>
      <c r="R88" s="60">
        <f>IF(SUMIF('regrets 6'!$Q88:$U88, "&gt;0") &gt; 0, MAX('regrets 6'!R88, 0) / SUMIF('regrets 6'!$Q88:$U88, "&gt;0"), 1 / COUNT('regrets 6'!$Q88:$U88))</f>
        <v>0.5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f>IF(SUMIF('regrets 6'!$B89:$F89, "&gt;0") &gt; 0, MAX('regrets 6'!C89, 0) / SUMIF('regrets 6'!$B89:$F89, "&gt;0"), 1 / COUNT('regrets 6'!$B89:$F89))</f>
        <v>0.5</v>
      </c>
      <c r="D89" s="61">
        <f>IF(SUMIF('regrets 6'!$B89:$F89, "&gt;0") &gt; 0, MAX('regrets 6'!D89, 0) / SUMIF('regrets 6'!$B89:$F89, "&gt;0"), 1 / COUNT('regrets 6'!$B89:$F89))</f>
        <v>0.5</v>
      </c>
      <c r="E89" s="62"/>
      <c r="F89" s="90"/>
      <c r="G89" s="60"/>
      <c r="H89" s="60">
        <f>IF(SUMIF('regrets 6'!$G89:$K89, "&gt;0") &gt; 0, MAX('regrets 6'!H89, 0) / SUMIF('regrets 6'!$G89:$K89, "&gt;0"), 1 / COUNT('regrets 6'!$G89:$K89))</f>
        <v>0.5</v>
      </c>
      <c r="I89" s="60">
        <f>IF(SUMIF('regrets 6'!$G89:$K89, "&gt;0") &gt; 0, MAX('regrets 6'!I89, 0) / SUMIF('regrets 6'!$G89:$K89, "&gt;0"), 1 / COUNT('regrets 6'!$G89:$K89))</f>
        <v>0.5</v>
      </c>
      <c r="J89" s="62"/>
      <c r="K89" s="90"/>
      <c r="L89" s="60"/>
      <c r="M89" s="60">
        <f>IF(SUMIF('regrets 6'!$L89:$P89, "&gt;0") &gt; 0, MAX('regrets 6'!M89, 0) / SUMIF('regrets 6'!$L89:$P89, "&gt;0"), 1 / COUNT('regrets 6'!$L89:$P89))</f>
        <v>0.5</v>
      </c>
      <c r="N89" s="60">
        <f>IF(SUMIF('regrets 6'!$L89:$P89, "&gt;0") &gt; 0, MAX('regrets 6'!N89, 0) / SUMIF('regrets 6'!$L89:$P89, "&gt;0"), 1 / COUNT('regrets 6'!$L89:$P89))</f>
        <v>0.5</v>
      </c>
      <c r="O89" s="62"/>
      <c r="P89" s="90"/>
      <c r="Q89" s="60"/>
      <c r="R89" s="60">
        <f>IF(SUMIF('regrets 6'!$Q89:$U89, "&gt;0") &gt; 0, MAX('regrets 6'!R89, 0) / SUMIF('regrets 6'!$Q89:$U89, "&gt;0"), 1 / COUNT('regrets 6'!$Q89:$U89))</f>
        <v>0.5</v>
      </c>
      <c r="S89" s="60">
        <f>IF(SUMIF('regrets 6'!$Q89:$U89, "&gt;0") &gt; 0, MAX('regrets 6'!S89, 0) / SUMIF('regrets 6'!$Q89:$U89, "&gt;0"), 1 / COUNT('regrets 6'!$Q89:$U89))</f>
        <v>0.5</v>
      </c>
      <c r="T89" s="62"/>
      <c r="U89" s="90"/>
    </row>
    <row r="90" spans="1:21" ht="20" customHeight="1" x14ac:dyDescent="0.15">
      <c r="A90" s="12">
        <v>21</v>
      </c>
      <c r="B90" s="61">
        <f>IF(SUMIF('regrets 6'!$B90:$F90, "&gt;0") &gt; 0, MAX('regrets 6'!B90, 0) / SUMIF('regrets 6'!$B90:$F90, "&gt;0"), 1 / COUNT('regrets 6'!$B90:$F90))</f>
        <v>0</v>
      </c>
      <c r="C90" s="61">
        <f>IF(SUMIF('regrets 6'!$B90:$F90, "&gt;0") &gt; 0, MAX('regrets 6'!C90, 0) / SUMIF('regrets 6'!$B90:$F90, "&gt;0"), 1 / COUNT('regrets 6'!$B90:$F90))</f>
        <v>1</v>
      </c>
      <c r="D90" s="61"/>
      <c r="E90" s="62"/>
      <c r="F90" s="90"/>
      <c r="G90" s="60">
        <f>IF(SUMIF('regrets 6'!$G90:$K90, "&gt;0") &gt; 0, MAX('regrets 6'!G90, 0) / SUMIF('regrets 6'!$G90:$K90, "&gt;0"), 1 / COUNT('regrets 6'!$G90:$K90))</f>
        <v>0.5</v>
      </c>
      <c r="H90" s="60">
        <f>IF(SUMIF('regrets 6'!$G90:$K90, "&gt;0") &gt; 0, MAX('regrets 6'!H90, 0) / SUMIF('regrets 6'!$G90:$K90, "&gt;0"), 1 / COUNT('regrets 6'!$G90:$K90))</f>
        <v>0.5</v>
      </c>
      <c r="I90" s="61"/>
      <c r="J90" s="62"/>
      <c r="K90" s="90"/>
      <c r="L90" s="60">
        <f>IF(SUMIF('regrets 6'!$L90:$P90, "&gt;0") &gt; 0, MAX('regrets 6'!L90, 0) / SUMIF('regrets 6'!$L90:$P90, "&gt;0"), 1 / COUNT('regrets 6'!$L90:$P90))</f>
        <v>0.5</v>
      </c>
      <c r="M90" s="60">
        <f>IF(SUMIF('regrets 6'!$L90:$P90, "&gt;0") &gt; 0, MAX('regrets 6'!M90, 0) / SUMIF('regrets 6'!$L90:$P90, "&gt;0"), 1 / COUNT('regrets 6'!$L90:$P90))</f>
        <v>0.5</v>
      </c>
      <c r="N90" s="61"/>
      <c r="O90" s="62"/>
      <c r="P90" s="90"/>
      <c r="Q90" s="60">
        <f>IF(SUMIF('regrets 6'!$Q90:$U90, "&gt;0") &gt; 0, MAX('regrets 6'!Q90, 0) / SUMIF('regrets 6'!$Q90:$U90, "&gt;0"), 1 / COUNT('regrets 6'!$Q90:$U90))</f>
        <v>0.5</v>
      </c>
      <c r="R90" s="60">
        <f>IF(SUMIF('regrets 6'!$Q90:$U90, "&gt;0") &gt; 0, MAX('regrets 6'!R90, 0) / SUMIF('regrets 6'!$Q90:$U90, "&gt;0"), 1 / COUNT('regrets 6'!$Q90:$U90))</f>
        <v>0.5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f>IF(SUMIF('regrets 6'!$B91:$F91, "&gt;0") &gt; 0, MAX('regrets 6'!C91, 0) / SUMIF('regrets 6'!$B91:$F91, "&gt;0"), 1 / COUNT('regrets 6'!$B91:$F91))</f>
        <v>0.5</v>
      </c>
      <c r="D91" s="61">
        <f>IF(SUMIF('regrets 6'!$B91:$F91, "&gt;0") &gt; 0, MAX('regrets 6'!D91, 0) / SUMIF('regrets 6'!$B91:$F91, "&gt;0"), 1 / COUNT('regrets 6'!$B91:$F91))</f>
        <v>0.5</v>
      </c>
      <c r="E91" s="62"/>
      <c r="F91" s="90"/>
      <c r="G91" s="60"/>
      <c r="H91" s="60">
        <f>IF(SUMIF('regrets 6'!$G91:$K91, "&gt;0") &gt; 0, MAX('regrets 6'!H91, 0) / SUMIF('regrets 6'!$G91:$K91, "&gt;0"), 1 / COUNT('regrets 6'!$G91:$K91))</f>
        <v>0.5</v>
      </c>
      <c r="I91" s="60">
        <f>IF(SUMIF('regrets 6'!$G91:$K91, "&gt;0") &gt; 0, MAX('regrets 6'!I91, 0) / SUMIF('regrets 6'!$G91:$K91, "&gt;0"), 1 / COUNT('regrets 6'!$G91:$K91))</f>
        <v>0.5</v>
      </c>
      <c r="J91" s="62"/>
      <c r="K91" s="90"/>
      <c r="L91" s="60"/>
      <c r="M91" s="60">
        <f>IF(SUMIF('regrets 6'!$L91:$P91, "&gt;0") &gt; 0, MAX('regrets 6'!M91, 0) / SUMIF('regrets 6'!$L91:$P91, "&gt;0"), 1 / COUNT('regrets 6'!$L91:$P91))</f>
        <v>0.5</v>
      </c>
      <c r="N91" s="60">
        <f>IF(SUMIF('regrets 6'!$L91:$P91, "&gt;0") &gt; 0, MAX('regrets 6'!N91, 0) / SUMIF('regrets 6'!$L91:$P91, "&gt;0"), 1 / COUNT('regrets 6'!$L91:$P91))</f>
        <v>0.5</v>
      </c>
      <c r="O91" s="62"/>
      <c r="P91" s="90"/>
      <c r="Q91" s="60"/>
      <c r="R91" s="60">
        <f>IF(SUMIF('regrets 6'!$Q91:$U91, "&gt;0") &gt; 0, MAX('regrets 6'!R91, 0) / SUMIF('regrets 6'!$Q91:$U91, "&gt;0"), 1 / COUNT('regrets 6'!$Q91:$U91))</f>
        <v>0.5</v>
      </c>
      <c r="S91" s="60">
        <f>IF(SUMIF('regrets 6'!$Q91:$U91, "&gt;0") &gt; 0, MAX('regrets 6'!S91, 0) / SUMIF('regrets 6'!$Q91:$U91, "&gt;0"), 1 / COUNT('regrets 6'!$Q91:$U91))</f>
        <v>0.5</v>
      </c>
      <c r="T91" s="62"/>
      <c r="U91" s="90"/>
    </row>
    <row r="92" spans="1:21" ht="20" customHeight="1" x14ac:dyDescent="0.15">
      <c r="A92" s="12">
        <v>23</v>
      </c>
      <c r="B92" s="61">
        <f>IF(SUMIF('regrets 6'!$B92:$F92, "&gt;0") &gt; 0, MAX('regrets 6'!B92, 0) / SUMIF('regrets 6'!$B92:$F92, "&gt;0"), 1 / COUNT('regrets 6'!$B92:$F92))</f>
        <v>0.5</v>
      </c>
      <c r="C92" s="61">
        <f>IF(SUMIF('regrets 6'!$B92:$F92, "&gt;0") &gt; 0, MAX('regrets 6'!C92, 0) / SUMIF('regrets 6'!$B92:$F92, "&gt;0"), 1 / COUNT('regrets 6'!$B92:$F92))</f>
        <v>0.5</v>
      </c>
      <c r="D92" s="61"/>
      <c r="E92" s="62"/>
      <c r="F92" s="90"/>
      <c r="G92" s="60">
        <f>IF(SUMIF('regrets 6'!$G92:$K92, "&gt;0") &gt; 0, MAX('regrets 6'!G92, 0) / SUMIF('regrets 6'!$G92:$K92, "&gt;0"), 1 / COUNT('regrets 6'!$G92:$K92))</f>
        <v>0.5</v>
      </c>
      <c r="H92" s="60">
        <f>IF(SUMIF('regrets 6'!$G92:$K92, "&gt;0") &gt; 0, MAX('regrets 6'!H92, 0) / SUMIF('regrets 6'!$G92:$K92, "&gt;0"), 1 / COUNT('regrets 6'!$G92:$K92))</f>
        <v>0.5</v>
      </c>
      <c r="I92" s="61"/>
      <c r="J92" s="62"/>
      <c r="K92" s="90"/>
      <c r="L92" s="60">
        <f>IF(SUMIF('regrets 6'!$L92:$P92, "&gt;0") &gt; 0, MAX('regrets 6'!L92, 0) / SUMIF('regrets 6'!$L92:$P92, "&gt;0"), 1 / COUNT('regrets 6'!$L92:$P92))</f>
        <v>0.5</v>
      </c>
      <c r="M92" s="60">
        <f>IF(SUMIF('regrets 6'!$L92:$P92, "&gt;0") &gt; 0, MAX('regrets 6'!M92, 0) / SUMIF('regrets 6'!$L92:$P92, "&gt;0"), 1 / COUNT('regrets 6'!$L92:$P92))</f>
        <v>0.5</v>
      </c>
      <c r="N92" s="61"/>
      <c r="O92" s="62"/>
      <c r="P92" s="90"/>
      <c r="Q92" s="60">
        <f>IF(SUMIF('regrets 6'!$Q92:$U92, "&gt;0") &gt; 0, MAX('regrets 6'!Q92, 0) / SUMIF('regrets 6'!$Q92:$U92, "&gt;0"), 1 / COUNT('regrets 6'!$Q92:$U92))</f>
        <v>0.5</v>
      </c>
      <c r="R92" s="60">
        <f>IF(SUMIF('regrets 6'!$Q92:$U92, "&gt;0") &gt; 0, MAX('regrets 6'!R92, 0) / SUMIF('regrets 6'!$Q92:$U92, "&gt;0"), 1 / COUNT('regrets 6'!$Q92:$U92))</f>
        <v>0.5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f>IF(SUMIF('regrets 6'!$B93:$F93, "&gt;0") &gt; 0, MAX('regrets 6'!C93, 0) / SUMIF('regrets 6'!$B93:$F93, "&gt;0"), 1 / COUNT('regrets 6'!$B93:$F93))</f>
        <v>0.5</v>
      </c>
      <c r="D93" s="61">
        <f>IF(SUMIF('regrets 6'!$B93:$F93, "&gt;0") &gt; 0, MAX('regrets 6'!D93, 0) / SUMIF('regrets 6'!$B93:$F93, "&gt;0"), 1 / COUNT('regrets 6'!$B93:$F93))</f>
        <v>0.5</v>
      </c>
      <c r="E93" s="62"/>
      <c r="F93" s="90"/>
      <c r="G93" s="60"/>
      <c r="H93" s="60">
        <f>IF(SUMIF('regrets 6'!$G93:$K93, "&gt;0") &gt; 0, MAX('regrets 6'!H93, 0) / SUMIF('regrets 6'!$G93:$K93, "&gt;0"), 1 / COUNT('regrets 6'!$G93:$K93))</f>
        <v>0.5</v>
      </c>
      <c r="I93" s="60">
        <f>IF(SUMIF('regrets 6'!$G93:$K93, "&gt;0") &gt; 0, MAX('regrets 6'!I93, 0) / SUMIF('regrets 6'!$G93:$K93, "&gt;0"), 1 / COUNT('regrets 6'!$G93:$K93))</f>
        <v>0.5</v>
      </c>
      <c r="J93" s="62"/>
      <c r="K93" s="90"/>
      <c r="L93" s="60"/>
      <c r="M93" s="60">
        <f>IF(SUMIF('regrets 6'!$L93:$P93, "&gt;0") &gt; 0, MAX('regrets 6'!M93, 0) / SUMIF('regrets 6'!$L93:$P93, "&gt;0"), 1 / COUNT('regrets 6'!$L93:$P93))</f>
        <v>0.5</v>
      </c>
      <c r="N93" s="60">
        <f>IF(SUMIF('regrets 6'!$L93:$P93, "&gt;0") &gt; 0, MAX('regrets 6'!N93, 0) / SUMIF('regrets 6'!$L93:$P93, "&gt;0"), 1 / COUNT('regrets 6'!$L93:$P93))</f>
        <v>0.5</v>
      </c>
      <c r="O93" s="62"/>
      <c r="P93" s="90"/>
      <c r="Q93" s="60"/>
      <c r="R93" s="60">
        <f>IF(SUMIF('regrets 6'!$Q93:$U93, "&gt;0") &gt; 0, MAX('regrets 6'!R93, 0) / SUMIF('regrets 6'!$Q93:$U93, "&gt;0"), 1 / COUNT('regrets 6'!$Q93:$U93))</f>
        <v>0.5</v>
      </c>
      <c r="S93" s="60">
        <f>IF(SUMIF('regrets 6'!$Q93:$U93, "&gt;0") &gt; 0, MAX('regrets 6'!S93, 0) / SUMIF('regrets 6'!$Q93:$U93, "&gt;0"), 1 / COUNT('regrets 6'!$Q93:$U93))</f>
        <v>0.5</v>
      </c>
      <c r="T93" s="62"/>
      <c r="U93" s="90"/>
    </row>
    <row r="94" spans="1:21" ht="20" customHeight="1" x14ac:dyDescent="0.15">
      <c r="A94" s="12">
        <v>25</v>
      </c>
      <c r="B94" s="61">
        <f>IF(SUMIF('regrets 6'!$B94:$F94, "&gt;0") &gt; 0, MAX('regrets 6'!B94, 0) / SUMIF('regrets 6'!$B94:$F94, "&gt;0"), 1 / COUNT('regrets 6'!$B94:$F94))</f>
        <v>0.5</v>
      </c>
      <c r="C94" s="61">
        <f>IF(SUMIF('regrets 6'!$B94:$F94, "&gt;0") &gt; 0, MAX('regrets 6'!C94, 0) / SUMIF('regrets 6'!$B94:$F94, "&gt;0"), 1 / COUNT('regrets 6'!$B94:$F94))</f>
        <v>0.5</v>
      </c>
      <c r="D94" s="61"/>
      <c r="E94" s="62"/>
      <c r="F94" s="90"/>
      <c r="G94" s="60">
        <f>IF(SUMIF('regrets 6'!$G94:$K94, "&gt;0") &gt; 0, MAX('regrets 6'!G94, 0) / SUMIF('regrets 6'!$G94:$K94, "&gt;0"), 1 / COUNT('regrets 6'!$G94:$K94))</f>
        <v>0.5</v>
      </c>
      <c r="H94" s="60">
        <f>IF(SUMIF('regrets 6'!$G94:$K94, "&gt;0") &gt; 0, MAX('regrets 6'!H94, 0) / SUMIF('regrets 6'!$G94:$K94, "&gt;0"), 1 / COUNT('regrets 6'!$G94:$K94))</f>
        <v>0.5</v>
      </c>
      <c r="I94" s="61"/>
      <c r="J94" s="62"/>
      <c r="K94" s="90"/>
      <c r="L94" s="60">
        <f>IF(SUMIF('regrets 6'!$L94:$P94, "&gt;0") &gt; 0, MAX('regrets 6'!L94, 0) / SUMIF('regrets 6'!$L94:$P94, "&gt;0"), 1 / COUNT('regrets 6'!$L94:$P94))</f>
        <v>0.5</v>
      </c>
      <c r="M94" s="60">
        <f>IF(SUMIF('regrets 6'!$L94:$P94, "&gt;0") &gt; 0, MAX('regrets 6'!M94, 0) / SUMIF('regrets 6'!$L94:$P94, "&gt;0"), 1 / COUNT('regrets 6'!$L94:$P94))</f>
        <v>0.5</v>
      </c>
      <c r="N94" s="61"/>
      <c r="O94" s="62"/>
      <c r="P94" s="90"/>
      <c r="Q94" s="60">
        <f>IF(SUMIF('regrets 6'!$Q94:$U94, "&gt;0") &gt; 0, MAX('regrets 6'!Q94, 0) / SUMIF('regrets 6'!$Q94:$U94, "&gt;0"), 1 / COUNT('regrets 6'!$Q94:$U94))</f>
        <v>0.5</v>
      </c>
      <c r="R94" s="60">
        <f>IF(SUMIF('regrets 6'!$Q94:$U94, "&gt;0") &gt; 0, MAX('regrets 6'!R94, 0) / SUMIF('regrets 6'!$Q94:$U94, "&gt;0"), 1 / COUNT('regrets 6'!$Q94:$U94))</f>
        <v>0.5</v>
      </c>
      <c r="S94" s="61"/>
      <c r="T94" s="62"/>
      <c r="U94" s="90"/>
    </row>
    <row r="95" spans="1:21" ht="20" customHeight="1" x14ac:dyDescent="0.15">
      <c r="A95" s="12">
        <v>26</v>
      </c>
      <c r="B95" s="61">
        <f>IF(SUMIF('regrets 6'!$B95:$F95, "&gt;0") &gt; 0, MAX('regrets 6'!B95, 0) / SUMIF('regrets 6'!$B95:$F95, "&gt;0"), 1 / COUNT('regrets 6'!$B95:$F95))</f>
        <v>0.5</v>
      </c>
      <c r="C95" s="61">
        <f>IF(SUMIF('regrets 6'!$B95:$F95, "&gt;0") &gt; 0, MAX('regrets 6'!C95, 0) / SUMIF('regrets 6'!$B95:$F95, "&gt;0"), 1 / COUNT('regrets 6'!$B95:$F95))</f>
        <v>0.5</v>
      </c>
      <c r="D95" s="61"/>
      <c r="E95" s="62"/>
      <c r="F95" s="90"/>
      <c r="G95" s="60">
        <f>IF(SUMIF('regrets 6'!$G95:$K95, "&gt;0") &gt; 0, MAX('regrets 6'!G95, 0) / SUMIF('regrets 6'!$G95:$K95, "&gt;0"), 1 / COUNT('regrets 6'!$G95:$K95))</f>
        <v>0.5</v>
      </c>
      <c r="H95" s="60">
        <f>IF(SUMIF('regrets 6'!$G95:$K95, "&gt;0") &gt; 0, MAX('regrets 6'!H95, 0) / SUMIF('regrets 6'!$G95:$K95, "&gt;0"), 1 / COUNT('regrets 6'!$G95:$K95))</f>
        <v>0.5</v>
      </c>
      <c r="I95" s="61"/>
      <c r="J95" s="62"/>
      <c r="K95" s="90"/>
      <c r="L95" s="60">
        <f>IF(SUMIF('regrets 6'!$L95:$P95, "&gt;0") &gt; 0, MAX('regrets 6'!L95, 0) / SUMIF('regrets 6'!$L95:$P95, "&gt;0"), 1 / COUNT('regrets 6'!$L95:$P95))</f>
        <v>0.5</v>
      </c>
      <c r="M95" s="60">
        <f>IF(SUMIF('regrets 6'!$L95:$P95, "&gt;0") &gt; 0, MAX('regrets 6'!M95, 0) / SUMIF('regrets 6'!$L95:$P95, "&gt;0"), 1 / COUNT('regrets 6'!$L95:$P95))</f>
        <v>0.5</v>
      </c>
      <c r="N95" s="61"/>
      <c r="O95" s="62"/>
      <c r="P95" s="90"/>
      <c r="Q95" s="60">
        <f>IF(SUMIF('regrets 6'!$Q95:$U95, "&gt;0") &gt; 0, MAX('regrets 6'!Q95, 0) / SUMIF('regrets 6'!$Q95:$U95, "&gt;0"), 1 / COUNT('regrets 6'!$Q95:$U95))</f>
        <v>0.5</v>
      </c>
      <c r="R95" s="60">
        <f>IF(SUMIF('regrets 6'!$Q95:$U95, "&gt;0") &gt; 0, MAX('regrets 6'!R95, 0) / SUMIF('regrets 6'!$Q95:$U95, "&gt;0"), 1 / COUNT('regrets 6'!$Q95:$U95))</f>
        <v>0.5</v>
      </c>
      <c r="S95" s="61"/>
      <c r="T95" s="62"/>
      <c r="U95" s="90"/>
    </row>
    <row r="96" spans="1:21" ht="20" customHeight="1" x14ac:dyDescent="0.15">
      <c r="A96" s="12">
        <v>27</v>
      </c>
      <c r="B96" s="61">
        <f>IF(SUMIF('regrets 6'!$B96:$F96, "&gt;0") &gt; 0, MAX('regrets 6'!B96, 0) / SUMIF('regrets 6'!$B96:$F96, "&gt;0"), 1 / COUNT('regrets 6'!$B96:$F96))</f>
        <v>0.5</v>
      </c>
      <c r="C96" s="61">
        <f>IF(SUMIF('regrets 6'!$B96:$F96, "&gt;0") &gt; 0, MAX('regrets 6'!C96, 0) / SUMIF('regrets 6'!$B96:$F96, "&gt;0"), 1 / COUNT('regrets 6'!$B96:$F96))</f>
        <v>0.5</v>
      </c>
      <c r="D96" s="61"/>
      <c r="E96" s="62"/>
      <c r="F96" s="90"/>
      <c r="G96" s="60">
        <f>IF(SUMIF('regrets 6'!$G96:$K96, "&gt;0") &gt; 0, MAX('regrets 6'!G96, 0) / SUMIF('regrets 6'!$G96:$K96, "&gt;0"), 1 / COUNT('regrets 6'!$G96:$K96))</f>
        <v>0.5</v>
      </c>
      <c r="H96" s="60">
        <f>IF(SUMIF('regrets 6'!$G96:$K96, "&gt;0") &gt; 0, MAX('regrets 6'!H96, 0) / SUMIF('regrets 6'!$G96:$K96, "&gt;0"), 1 / COUNT('regrets 6'!$G96:$K96))</f>
        <v>0.5</v>
      </c>
      <c r="I96" s="61"/>
      <c r="J96" s="62"/>
      <c r="K96" s="90"/>
      <c r="L96" s="60">
        <f>IF(SUMIF('regrets 6'!$L96:$P96, "&gt;0") &gt; 0, MAX('regrets 6'!L96, 0) / SUMIF('regrets 6'!$L96:$P96, "&gt;0"), 1 / COUNT('regrets 6'!$L96:$P96))</f>
        <v>0.5</v>
      </c>
      <c r="M96" s="60">
        <f>IF(SUMIF('regrets 6'!$L96:$P96, "&gt;0") &gt; 0, MAX('regrets 6'!M96, 0) / SUMIF('regrets 6'!$L96:$P96, "&gt;0"), 1 / COUNT('regrets 6'!$L96:$P96))</f>
        <v>0.5</v>
      </c>
      <c r="N96" s="61"/>
      <c r="O96" s="62"/>
      <c r="P96" s="90"/>
      <c r="Q96" s="60">
        <f>IF(SUMIF('regrets 6'!$Q96:$U96, "&gt;0") &gt; 0, MAX('regrets 6'!Q96, 0) / SUMIF('regrets 6'!$Q96:$U96, "&gt;0"), 1 / COUNT('regrets 6'!$Q96:$U96))</f>
        <v>0.5</v>
      </c>
      <c r="R96" s="60">
        <f>IF(SUMIF('regrets 6'!$Q96:$U96, "&gt;0") &gt; 0, MAX('regrets 6'!R96, 0) / SUMIF('regrets 6'!$Q96:$U96, "&gt;0"), 1 / COUNT('regrets 6'!$Q96:$U96))</f>
        <v>0.5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f>IF(SUMIF('regrets 6'!$B97:$F97, "&gt;0") &gt; 0, MAX('regrets 6'!C97, 0) / SUMIF('regrets 6'!$B97:$F97, "&gt;0"), 1 / COUNT('regrets 6'!$B97:$F97))</f>
        <v>0.5</v>
      </c>
      <c r="D97" s="61">
        <f>IF(SUMIF('regrets 6'!$B97:$F97, "&gt;0") &gt; 0, MAX('regrets 6'!D97, 0) / SUMIF('regrets 6'!$B97:$F97, "&gt;0"), 1 / COUNT('regrets 6'!$B97:$F97))</f>
        <v>0.5</v>
      </c>
      <c r="E97" s="62"/>
      <c r="F97" s="90"/>
      <c r="G97" s="60"/>
      <c r="H97" s="60">
        <f>IF(SUMIF('regrets 6'!$G97:$K97, "&gt;0") &gt; 0, MAX('regrets 6'!H97, 0) / SUMIF('regrets 6'!$G97:$K97, "&gt;0"), 1 / COUNT('regrets 6'!$G97:$K97))</f>
        <v>0.5</v>
      </c>
      <c r="I97" s="60">
        <f>IF(SUMIF('regrets 6'!$G97:$K97, "&gt;0") &gt; 0, MAX('regrets 6'!I97, 0) / SUMIF('regrets 6'!$G97:$K97, "&gt;0"), 1 / COUNT('regrets 6'!$G97:$K97))</f>
        <v>0.5</v>
      </c>
      <c r="J97" s="62"/>
      <c r="K97" s="90"/>
      <c r="L97" s="60"/>
      <c r="M97" s="60">
        <f>IF(SUMIF('regrets 6'!$L97:$P97, "&gt;0") &gt; 0, MAX('regrets 6'!M97, 0) / SUMIF('regrets 6'!$L97:$P97, "&gt;0"), 1 / COUNT('regrets 6'!$L97:$P97))</f>
        <v>0.5</v>
      </c>
      <c r="N97" s="60">
        <f>IF(SUMIF('regrets 6'!$L97:$P97, "&gt;0") &gt; 0, MAX('regrets 6'!N97, 0) / SUMIF('regrets 6'!$L97:$P97, "&gt;0"), 1 / COUNT('regrets 6'!$L97:$P97))</f>
        <v>0.5</v>
      </c>
      <c r="O97" s="62"/>
      <c r="P97" s="90"/>
      <c r="Q97" s="60"/>
      <c r="R97" s="60">
        <f>IF(SUMIF('regrets 6'!$Q97:$U97, "&gt;0") &gt; 0, MAX('regrets 6'!R97, 0) / SUMIF('regrets 6'!$Q97:$U97, "&gt;0"), 1 / COUNT('regrets 6'!$Q97:$U97))</f>
        <v>0.5</v>
      </c>
      <c r="S97" s="60">
        <f>IF(SUMIF('regrets 6'!$Q97:$U97, "&gt;0") &gt; 0, MAX('regrets 6'!S97, 0) / SUMIF('regrets 6'!$Q97:$U97, "&gt;0"), 1 / COUNT('regrets 6'!$Q97:$U97))</f>
        <v>0.5</v>
      </c>
      <c r="T97" s="62"/>
      <c r="U97" s="90"/>
    </row>
    <row r="98" spans="1:21" ht="20" customHeight="1" x14ac:dyDescent="0.15">
      <c r="A98" s="12">
        <v>29</v>
      </c>
      <c r="B98" s="61">
        <f>IF(SUMIF('regrets 6'!$B98:$F98, "&gt;0") &gt; 0, MAX('regrets 6'!B98, 0) / SUMIF('regrets 6'!$B98:$F98, "&gt;0"), 1 / COUNT('regrets 6'!$B98:$F98))</f>
        <v>0.5</v>
      </c>
      <c r="C98" s="61">
        <f>IF(SUMIF('regrets 6'!$B98:$F98, "&gt;0") &gt; 0, MAX('regrets 6'!C98, 0) / SUMIF('regrets 6'!$B98:$F98, "&gt;0"), 1 / COUNT('regrets 6'!$B98:$F98))</f>
        <v>0.5</v>
      </c>
      <c r="D98" s="61"/>
      <c r="E98" s="62"/>
      <c r="F98" s="90"/>
      <c r="G98" s="60">
        <f>IF(SUMIF('regrets 6'!$G98:$K98, "&gt;0") &gt; 0, MAX('regrets 6'!G98, 0) / SUMIF('regrets 6'!$G98:$K98, "&gt;0"), 1 / COUNT('regrets 6'!$G98:$K98))</f>
        <v>0.5</v>
      </c>
      <c r="H98" s="60">
        <f>IF(SUMIF('regrets 6'!$G98:$K98, "&gt;0") &gt; 0, MAX('regrets 6'!H98, 0) / SUMIF('regrets 6'!$G98:$K98, "&gt;0"), 1 / COUNT('regrets 6'!$G98:$K98))</f>
        <v>0.5</v>
      </c>
      <c r="I98" s="61"/>
      <c r="J98" s="62"/>
      <c r="K98" s="90"/>
      <c r="L98" s="60">
        <f>IF(SUMIF('regrets 6'!$L98:$P98, "&gt;0") &gt; 0, MAX('regrets 6'!L98, 0) / SUMIF('regrets 6'!$L98:$P98, "&gt;0"), 1 / COUNT('regrets 6'!$L98:$P98))</f>
        <v>0.5</v>
      </c>
      <c r="M98" s="60">
        <f>IF(SUMIF('regrets 6'!$L98:$P98, "&gt;0") &gt; 0, MAX('regrets 6'!M98, 0) / SUMIF('regrets 6'!$L98:$P98, "&gt;0"), 1 / COUNT('regrets 6'!$L98:$P98))</f>
        <v>0.5</v>
      </c>
      <c r="N98" s="61"/>
      <c r="O98" s="62"/>
      <c r="P98" s="90"/>
      <c r="Q98" s="60">
        <f>IF(SUMIF('regrets 6'!$Q98:$U98, "&gt;0") &gt; 0, MAX('regrets 6'!Q98, 0) / SUMIF('regrets 6'!$Q98:$U98, "&gt;0"), 1 / COUNT('regrets 6'!$Q98:$U98))</f>
        <v>0.5</v>
      </c>
      <c r="R98" s="60">
        <f>IF(SUMIF('regrets 6'!$Q98:$U98, "&gt;0") &gt; 0, MAX('regrets 6'!R98, 0) / SUMIF('regrets 6'!$Q98:$U98, "&gt;0"), 1 / COUNT('regrets 6'!$Q98:$U98))</f>
        <v>0.5</v>
      </c>
      <c r="S98" s="61"/>
      <c r="T98" s="62"/>
      <c r="U98" s="90"/>
    </row>
    <row r="99" spans="1:21" ht="20" customHeight="1" x14ac:dyDescent="0.15">
      <c r="A99" s="12">
        <v>30</v>
      </c>
      <c r="B99" s="61">
        <f>IF(SUMIF('regrets 6'!$B99:$F99, "&gt;0") &gt; 0, MAX('regrets 6'!B99, 0) / SUMIF('regrets 6'!$B99:$F99, "&gt;0"), 1 / COUNT('regrets 6'!$B99:$F99))</f>
        <v>0.5</v>
      </c>
      <c r="C99" s="61">
        <f>IF(SUMIF('regrets 6'!$B99:$F99, "&gt;0") &gt; 0, MAX('regrets 6'!C99, 0) / SUMIF('regrets 6'!$B99:$F99, "&gt;0"), 1 / COUNT('regrets 6'!$B99:$F99))</f>
        <v>0.5</v>
      </c>
      <c r="D99" s="61"/>
      <c r="E99" s="62"/>
      <c r="F99" s="90"/>
      <c r="G99" s="60">
        <f>IF(SUMIF('regrets 6'!$G99:$K99, "&gt;0") &gt; 0, MAX('regrets 6'!G99, 0) / SUMIF('regrets 6'!$G99:$K99, "&gt;0"), 1 / COUNT('regrets 6'!$G99:$K99))</f>
        <v>0.5</v>
      </c>
      <c r="H99" s="60">
        <f>IF(SUMIF('regrets 6'!$G99:$K99, "&gt;0") &gt; 0, MAX('regrets 6'!H99, 0) / SUMIF('regrets 6'!$G99:$K99, "&gt;0"), 1 / COUNT('regrets 6'!$G99:$K99))</f>
        <v>0.5</v>
      </c>
      <c r="I99" s="61"/>
      <c r="J99" s="62"/>
      <c r="K99" s="90"/>
      <c r="L99" s="60">
        <f>IF(SUMIF('regrets 6'!$L99:$P99, "&gt;0") &gt; 0, MAX('regrets 6'!L99, 0) / SUMIF('regrets 6'!$L99:$P99, "&gt;0"), 1 / COUNT('regrets 6'!$L99:$P99))</f>
        <v>0.5</v>
      </c>
      <c r="M99" s="60">
        <f>IF(SUMIF('regrets 6'!$L99:$P99, "&gt;0") &gt; 0, MAX('regrets 6'!M99, 0) / SUMIF('regrets 6'!$L99:$P99, "&gt;0"), 1 / COUNT('regrets 6'!$L99:$P99))</f>
        <v>0.5</v>
      </c>
      <c r="N99" s="61"/>
      <c r="O99" s="62"/>
      <c r="P99" s="90"/>
      <c r="Q99" s="60">
        <f>IF(SUMIF('regrets 6'!$Q99:$U99, "&gt;0") &gt; 0, MAX('regrets 6'!Q99, 0) / SUMIF('regrets 6'!$Q99:$U99, "&gt;0"), 1 / COUNT('regrets 6'!$Q99:$U99))</f>
        <v>0.5</v>
      </c>
      <c r="R99" s="60">
        <f>IF(SUMIF('regrets 6'!$Q99:$U99, "&gt;0") &gt; 0, MAX('regrets 6'!R99, 0) / SUMIF('regrets 6'!$Q99:$U99, "&gt;0"), 1 / COUNT('regrets 6'!$Q99:$U99))</f>
        <v>0.5</v>
      </c>
      <c r="S99" s="61"/>
      <c r="T99" s="62"/>
      <c r="U99" s="90"/>
    </row>
    <row r="100" spans="1:21" ht="20" customHeight="1" x14ac:dyDescent="0.15">
      <c r="A100" s="12">
        <v>31</v>
      </c>
      <c r="B100" s="61">
        <f>IF(SUMIF('regrets 6'!$B100:$F100, "&gt;0") &gt; 0, MAX('regrets 6'!B100, 0) / SUMIF('regrets 6'!$B100:$F100, "&gt;0"), 1 / COUNT('regrets 6'!$B100:$F100))</f>
        <v>0.5</v>
      </c>
      <c r="C100" s="61">
        <f>IF(SUMIF('regrets 6'!$B100:$F100, "&gt;0") &gt; 0, MAX('regrets 6'!C100, 0) / SUMIF('regrets 6'!$B100:$F100, "&gt;0"), 1 / COUNT('regrets 6'!$B100:$F100))</f>
        <v>0.5</v>
      </c>
      <c r="D100" s="61"/>
      <c r="E100" s="62"/>
      <c r="F100" s="90"/>
      <c r="G100" s="60">
        <f>IF(SUMIF('regrets 6'!$G100:$K100, "&gt;0") &gt; 0, MAX('regrets 6'!G100, 0) / SUMIF('regrets 6'!$G100:$K100, "&gt;0"), 1 / COUNT('regrets 6'!$G100:$K100))</f>
        <v>0.5</v>
      </c>
      <c r="H100" s="60">
        <f>IF(SUMIF('regrets 6'!$G100:$K100, "&gt;0") &gt; 0, MAX('regrets 6'!H100, 0) / SUMIF('regrets 6'!$G100:$K100, "&gt;0"), 1 / COUNT('regrets 6'!$G100:$K100))</f>
        <v>0.5</v>
      </c>
      <c r="I100" s="61"/>
      <c r="J100" s="62"/>
      <c r="K100" s="90"/>
      <c r="L100" s="60">
        <f>IF(SUMIF('regrets 6'!$L100:$P100, "&gt;0") &gt; 0, MAX('regrets 6'!L100, 0) / SUMIF('regrets 6'!$L100:$P100, "&gt;0"), 1 / COUNT('regrets 6'!$L100:$P100))</f>
        <v>0.5</v>
      </c>
      <c r="M100" s="60">
        <f>IF(SUMIF('regrets 6'!$L100:$P100, "&gt;0") &gt; 0, MAX('regrets 6'!M100, 0) / SUMIF('regrets 6'!$L100:$P100, "&gt;0"), 1 / COUNT('regrets 6'!$L100:$P100))</f>
        <v>0.5</v>
      </c>
      <c r="N100" s="61"/>
      <c r="O100" s="62"/>
      <c r="P100" s="90"/>
      <c r="Q100" s="60">
        <f>IF(SUMIF('regrets 6'!$Q100:$U100, "&gt;0") &gt; 0, MAX('regrets 6'!Q100, 0) / SUMIF('regrets 6'!$Q100:$U100, "&gt;0"), 1 / COUNT('regrets 6'!$Q100:$U100))</f>
        <v>0.5</v>
      </c>
      <c r="R100" s="60">
        <f>IF(SUMIF('regrets 6'!$Q100:$U100, "&gt;0") &gt; 0, MAX('regrets 6'!R100, 0) / SUMIF('regrets 6'!$Q100:$U100, "&gt;0"), 1 / COUNT('regrets 6'!$Q100:$U100))</f>
        <v>0.5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f>IF(SUMIF('regrets 6'!$B101:$F101, "&gt;0") &gt; 0, MAX('regrets 6'!C101, 0) / SUMIF('regrets 6'!$B101:$F101, "&gt;0"), 1 / COUNT('regrets 6'!$B101:$F101))</f>
        <v>0.5</v>
      </c>
      <c r="D101" s="61">
        <f>IF(SUMIF('regrets 6'!$B101:$F101, "&gt;0") &gt; 0, MAX('regrets 6'!D101, 0) / SUMIF('regrets 6'!$B101:$F101, "&gt;0"), 1 / COUNT('regrets 6'!$B101:$F101))</f>
        <v>0.5</v>
      </c>
      <c r="E101" s="62"/>
      <c r="F101" s="90"/>
      <c r="G101" s="60"/>
      <c r="H101" s="60">
        <f>IF(SUMIF('regrets 6'!$G101:$K101, "&gt;0") &gt; 0, MAX('regrets 6'!H101, 0) / SUMIF('regrets 6'!$G101:$K101, "&gt;0"), 1 / COUNT('regrets 6'!$G101:$K101))</f>
        <v>0.5</v>
      </c>
      <c r="I101" s="60">
        <f>IF(SUMIF('regrets 6'!$G101:$K101, "&gt;0") &gt; 0, MAX('regrets 6'!I101, 0) / SUMIF('regrets 6'!$G101:$K101, "&gt;0"), 1 / COUNT('regrets 6'!$G101:$K101))</f>
        <v>0.5</v>
      </c>
      <c r="J101" s="62"/>
      <c r="K101" s="90"/>
      <c r="L101" s="60"/>
      <c r="M101" s="60">
        <f>IF(SUMIF('regrets 6'!$L101:$P101, "&gt;0") &gt; 0, MAX('regrets 6'!M101, 0) / SUMIF('regrets 6'!$L101:$P101, "&gt;0"), 1 / COUNT('regrets 6'!$L101:$P101))</f>
        <v>0.5</v>
      </c>
      <c r="N101" s="60">
        <f>IF(SUMIF('regrets 6'!$L101:$P101, "&gt;0") &gt; 0, MAX('regrets 6'!N101, 0) / SUMIF('regrets 6'!$L101:$P101, "&gt;0"), 1 / COUNT('regrets 6'!$L101:$P101))</f>
        <v>0.5</v>
      </c>
      <c r="O101" s="62"/>
      <c r="P101" s="90"/>
      <c r="Q101" s="60"/>
      <c r="R101" s="60">
        <f>IF(SUMIF('regrets 6'!$Q101:$U101, "&gt;0") &gt; 0, MAX('regrets 6'!R101, 0) / SUMIF('regrets 6'!$Q101:$U101, "&gt;0"), 1 / COUNT('regrets 6'!$Q101:$U101))</f>
        <v>0.5</v>
      </c>
      <c r="S101" s="60">
        <f>IF(SUMIF('regrets 6'!$Q101:$U101, "&gt;0") &gt; 0, MAX('regrets 6'!S101, 0) / SUMIF('regrets 6'!$Q101:$U101, "&gt;0"), 1 / COUNT('regrets 6'!$Q101:$U101))</f>
        <v>0.5</v>
      </c>
      <c r="T101" s="62"/>
      <c r="U101" s="90"/>
    </row>
    <row r="102" spans="1:21" ht="20" customHeight="1" x14ac:dyDescent="0.15">
      <c r="A102" s="12">
        <v>33</v>
      </c>
      <c r="B102" s="61">
        <f>IF(SUMIF('regrets 6'!$B102:$F102, "&gt;0") &gt; 0, MAX('regrets 6'!B102, 0) / SUMIF('regrets 6'!$B102:$F102, "&gt;0"), 1 / COUNT('regrets 6'!$B102:$F102))</f>
        <v>0.5</v>
      </c>
      <c r="C102" s="61">
        <f>IF(SUMIF('regrets 6'!$B102:$F102, "&gt;0") &gt; 0, MAX('regrets 6'!C102, 0) / SUMIF('regrets 6'!$B102:$F102, "&gt;0"), 1 / COUNT('regrets 6'!$B102:$F102))</f>
        <v>0.5</v>
      </c>
      <c r="D102" s="61"/>
      <c r="E102" s="62"/>
      <c r="F102" s="90"/>
      <c r="G102" s="60">
        <f>IF(SUMIF('regrets 6'!$G102:$K102, "&gt;0") &gt; 0, MAX('regrets 6'!G102, 0) / SUMIF('regrets 6'!$G102:$K102, "&gt;0"), 1 / COUNT('regrets 6'!$G102:$K102))</f>
        <v>0.5</v>
      </c>
      <c r="H102" s="60">
        <f>IF(SUMIF('regrets 6'!$G102:$K102, "&gt;0") &gt; 0, MAX('regrets 6'!H102, 0) / SUMIF('regrets 6'!$G102:$K102, "&gt;0"), 1 / COUNT('regrets 6'!$G102:$K102))</f>
        <v>0.5</v>
      </c>
      <c r="I102" s="61"/>
      <c r="J102" s="62"/>
      <c r="K102" s="90"/>
      <c r="L102" s="60">
        <f>IF(SUMIF('regrets 6'!$L102:$P102, "&gt;0") &gt; 0, MAX('regrets 6'!L102, 0) / SUMIF('regrets 6'!$L102:$P102, "&gt;0"), 1 / COUNT('regrets 6'!$L102:$P102))</f>
        <v>0.5</v>
      </c>
      <c r="M102" s="60">
        <f>IF(SUMIF('regrets 6'!$L102:$P102, "&gt;0") &gt; 0, MAX('regrets 6'!M102, 0) / SUMIF('regrets 6'!$L102:$P102, "&gt;0"), 1 / COUNT('regrets 6'!$L102:$P102))</f>
        <v>0.5</v>
      </c>
      <c r="N102" s="61"/>
      <c r="O102" s="62"/>
      <c r="P102" s="90"/>
      <c r="Q102" s="60">
        <f>IF(SUMIF('regrets 6'!$Q102:$U102, "&gt;0") &gt; 0, MAX('regrets 6'!Q102, 0) / SUMIF('regrets 6'!$Q102:$U102, "&gt;0"), 1 / COUNT('regrets 6'!$Q102:$U102))</f>
        <v>0.5</v>
      </c>
      <c r="R102" s="60">
        <f>IF(SUMIF('regrets 6'!$Q102:$U102, "&gt;0") &gt; 0, MAX('regrets 6'!R102, 0) / SUMIF('regrets 6'!$Q102:$U102, "&gt;0"), 1 / COUNT('regrets 6'!$Q102:$U102))</f>
        <v>0.5</v>
      </c>
      <c r="S102" s="61"/>
      <c r="T102" s="62"/>
      <c r="U102" s="90"/>
    </row>
    <row r="103" spans="1:21" ht="20" customHeight="1" x14ac:dyDescent="0.15">
      <c r="A103" s="12">
        <v>34</v>
      </c>
      <c r="B103" s="61">
        <f>IF(SUMIF('regrets 6'!$B103:$F103, "&gt;0") &gt; 0, MAX('regrets 6'!B103, 0) / SUMIF('regrets 6'!$B103:$F103, "&gt;0"), 1 / COUNT('regrets 6'!$B103:$F103))</f>
        <v>0.5</v>
      </c>
      <c r="C103" s="61">
        <f>IF(SUMIF('regrets 6'!$B103:$F103, "&gt;0") &gt; 0, MAX('regrets 6'!C103, 0) / SUMIF('regrets 6'!$B103:$F103, "&gt;0"), 1 / COUNT('regrets 6'!$B103:$F103))</f>
        <v>0.5</v>
      </c>
      <c r="D103" s="61"/>
      <c r="E103" s="62"/>
      <c r="F103" s="90"/>
      <c r="G103" s="60">
        <f>IF(SUMIF('regrets 6'!$G103:$K103, "&gt;0") &gt; 0, MAX('regrets 6'!G103, 0) / SUMIF('regrets 6'!$G103:$K103, "&gt;0"), 1 / COUNT('regrets 6'!$G103:$K103))</f>
        <v>0.5</v>
      </c>
      <c r="H103" s="60">
        <f>IF(SUMIF('regrets 6'!$G103:$K103, "&gt;0") &gt; 0, MAX('regrets 6'!H103, 0) / SUMIF('regrets 6'!$G103:$K103, "&gt;0"), 1 / COUNT('regrets 6'!$G103:$K103))</f>
        <v>0.5</v>
      </c>
      <c r="I103" s="61"/>
      <c r="J103" s="62"/>
      <c r="K103" s="90"/>
      <c r="L103" s="60">
        <f>IF(SUMIF('regrets 6'!$L103:$P103, "&gt;0") &gt; 0, MAX('regrets 6'!L103, 0) / SUMIF('regrets 6'!$L103:$P103, "&gt;0"), 1 / COUNT('regrets 6'!$L103:$P103))</f>
        <v>0.5</v>
      </c>
      <c r="M103" s="60">
        <f>IF(SUMIF('regrets 6'!$L103:$P103, "&gt;0") &gt; 0, MAX('regrets 6'!M103, 0) / SUMIF('regrets 6'!$L103:$P103, "&gt;0"), 1 / COUNT('regrets 6'!$L103:$P103))</f>
        <v>0.5</v>
      </c>
      <c r="N103" s="61"/>
      <c r="O103" s="62"/>
      <c r="P103" s="90"/>
      <c r="Q103" s="60">
        <f>IF(SUMIF('regrets 6'!$Q103:$U103, "&gt;0") &gt; 0, MAX('regrets 6'!Q103, 0) / SUMIF('regrets 6'!$Q103:$U103, "&gt;0"), 1 / COUNT('regrets 6'!$Q103:$U103))</f>
        <v>0.5</v>
      </c>
      <c r="R103" s="60">
        <f>IF(SUMIF('regrets 6'!$Q103:$U103, "&gt;0") &gt; 0, MAX('regrets 6'!R103, 0) / SUMIF('regrets 6'!$Q103:$U103, "&gt;0"), 1 / COUNT('regrets 6'!$Q103:$U103))</f>
        <v>0.5</v>
      </c>
      <c r="S103" s="61"/>
      <c r="T103" s="62"/>
      <c r="U103" s="90"/>
    </row>
    <row r="104" spans="1:21" ht="20" customHeight="1" x14ac:dyDescent="0.15">
      <c r="A104" s="12">
        <v>35</v>
      </c>
      <c r="B104" s="61">
        <f>IF(SUMIF('regrets 6'!$B104:$F104, "&gt;0") &gt; 0, MAX('regrets 6'!B104, 0) / SUMIF('regrets 6'!$B104:$F104, "&gt;0"), 1 / COUNT('regrets 6'!$B104:$F104))</f>
        <v>0.5</v>
      </c>
      <c r="C104" s="61">
        <f>IF(SUMIF('regrets 6'!$B104:$F104, "&gt;0") &gt; 0, MAX('regrets 6'!C104, 0) / SUMIF('regrets 6'!$B104:$F104, "&gt;0"), 1 / COUNT('regrets 6'!$B104:$F104))</f>
        <v>0.5</v>
      </c>
      <c r="D104" s="61"/>
      <c r="E104" s="62"/>
      <c r="F104" s="90"/>
      <c r="G104" s="60">
        <f>IF(SUMIF('regrets 6'!$G104:$K104, "&gt;0") &gt; 0, MAX('regrets 6'!G104, 0) / SUMIF('regrets 6'!$G104:$K104, "&gt;0"), 1 / COUNT('regrets 6'!$G104:$K104))</f>
        <v>0.5</v>
      </c>
      <c r="H104" s="60">
        <f>IF(SUMIF('regrets 6'!$G104:$K104, "&gt;0") &gt; 0, MAX('regrets 6'!H104, 0) / SUMIF('regrets 6'!$G104:$K104, "&gt;0"), 1 / COUNT('regrets 6'!$G104:$K104))</f>
        <v>0.5</v>
      </c>
      <c r="I104" s="61"/>
      <c r="J104" s="62"/>
      <c r="K104" s="90"/>
      <c r="L104" s="60">
        <f>IF(SUMIF('regrets 6'!$L104:$P104, "&gt;0") &gt; 0, MAX('regrets 6'!L104, 0) / SUMIF('regrets 6'!$L104:$P104, "&gt;0"), 1 / COUNT('regrets 6'!$L104:$P104))</f>
        <v>0.5</v>
      </c>
      <c r="M104" s="60">
        <f>IF(SUMIF('regrets 6'!$L104:$P104, "&gt;0") &gt; 0, MAX('regrets 6'!M104, 0) / SUMIF('regrets 6'!$L104:$P104, "&gt;0"), 1 / COUNT('regrets 6'!$L104:$P104))</f>
        <v>0.5</v>
      </c>
      <c r="N104" s="61"/>
      <c r="O104" s="62"/>
      <c r="P104" s="90"/>
      <c r="Q104" s="60">
        <f>IF(SUMIF('regrets 6'!$Q104:$U104, "&gt;0") &gt; 0, MAX('regrets 6'!Q104, 0) / SUMIF('regrets 6'!$Q104:$U104, "&gt;0"), 1 / COUNT('regrets 6'!$Q104:$U104))</f>
        <v>0.5</v>
      </c>
      <c r="R104" s="60">
        <f>IF(SUMIF('regrets 6'!$Q104:$U104, "&gt;0") &gt; 0, MAX('regrets 6'!R104, 0) / SUMIF('regrets 6'!$Q104:$U104, "&gt;0"), 1 / COUNT('regrets 6'!$Q104:$U104))</f>
        <v>0.5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zoomScale="75" zoomScaleNormal="90" workbookViewId="0">
      <pane xSplit="1" ySplit="2" topLeftCell="J3" activePane="bottomRight" state="frozen"/>
      <selection pane="topRight"/>
      <selection pane="bottomLeft"/>
      <selection pane="bottomRight" activeCell="T11" sqref="T11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102">
        <v>1</v>
      </c>
      <c r="H1" s="97"/>
      <c r="I1" s="97"/>
      <c r="J1" s="97"/>
      <c r="K1" s="98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58"/>
      <c r="F3" s="80"/>
      <c r="G3" s="64">
        <f>-4983+5032</f>
        <v>49</v>
      </c>
      <c r="H3" s="65">
        <f>17+5182</f>
        <v>5199</v>
      </c>
      <c r="I3" s="65">
        <f>4967+-18</f>
        <v>4949</v>
      </c>
      <c r="J3" s="58"/>
      <c r="K3" s="80"/>
      <c r="L3" s="64">
        <v>0</v>
      </c>
      <c r="M3" s="65">
        <v>0</v>
      </c>
      <c r="N3" s="65">
        <v>0</v>
      </c>
      <c r="O3" s="58"/>
      <c r="P3" s="80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80"/>
    </row>
    <row r="4" spans="1:21" ht="20" customHeight="1" x14ac:dyDescent="0.15">
      <c r="A4" s="12">
        <v>1</v>
      </c>
      <c r="B4" s="60">
        <v>0</v>
      </c>
      <c r="C4" s="61">
        <v>0</v>
      </c>
      <c r="D4" s="61">
        <v>0</v>
      </c>
      <c r="E4" s="62"/>
      <c r="F4" s="81"/>
      <c r="G4" s="60">
        <f>6633</f>
        <v>6633</v>
      </c>
      <c r="H4" s="61">
        <v>0</v>
      </c>
      <c r="I4" s="61">
        <v>0</v>
      </c>
      <c r="J4" s="62"/>
      <c r="K4" s="81"/>
      <c r="L4" s="60">
        <v>2458</v>
      </c>
      <c r="M4" s="61">
        <v>-7492</v>
      </c>
      <c r="N4" s="61">
        <v>5033</v>
      </c>
      <c r="O4" s="62"/>
      <c r="P4" s="81"/>
      <c r="Q4" s="60">
        <v>0</v>
      </c>
      <c r="R4" s="61">
        <v>0</v>
      </c>
      <c r="S4" s="61">
        <v>0</v>
      </c>
      <c r="T4" s="62"/>
      <c r="U4" s="81"/>
    </row>
    <row r="5" spans="1:21" ht="20" customHeight="1" x14ac:dyDescent="0.15">
      <c r="A5" s="12">
        <v>2</v>
      </c>
      <c r="B5" s="60">
        <v>0</v>
      </c>
      <c r="C5" s="61">
        <v>0</v>
      </c>
      <c r="D5" s="61"/>
      <c r="E5" s="62"/>
      <c r="F5" s="81"/>
      <c r="G5" s="60">
        <v>0</v>
      </c>
      <c r="H5" s="61">
        <v>0</v>
      </c>
      <c r="I5" s="61"/>
      <c r="J5" s="62"/>
      <c r="K5" s="81"/>
      <c r="L5" s="60">
        <v>0</v>
      </c>
      <c r="M5" s="61">
        <v>0</v>
      </c>
      <c r="N5" s="61"/>
      <c r="O5" s="62"/>
      <c r="P5" s="81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v>0</v>
      </c>
      <c r="D6" s="61">
        <v>0</v>
      </c>
      <c r="E6" s="62"/>
      <c r="F6" s="81"/>
      <c r="G6" s="60"/>
      <c r="H6" s="61">
        <v>0</v>
      </c>
      <c r="I6" s="61">
        <v>0</v>
      </c>
      <c r="J6" s="62"/>
      <c r="K6" s="81"/>
      <c r="L6" s="60"/>
      <c r="M6" s="61">
        <v>0</v>
      </c>
      <c r="N6" s="61">
        <v>0</v>
      </c>
      <c r="O6" s="62"/>
      <c r="P6" s="81"/>
      <c r="Q6" s="60"/>
      <c r="R6" s="61">
        <v>0</v>
      </c>
      <c r="S6" s="61">
        <v>0</v>
      </c>
      <c r="T6" s="62"/>
      <c r="U6" s="81"/>
    </row>
    <row r="7" spans="1:21" ht="20" customHeight="1" x14ac:dyDescent="0.15">
      <c r="A7" s="12">
        <v>4</v>
      </c>
      <c r="B7" s="60">
        <v>0</v>
      </c>
      <c r="C7" s="61">
        <v>0</v>
      </c>
      <c r="D7" s="61"/>
      <c r="E7" s="62"/>
      <c r="F7" s="81"/>
      <c r="G7" s="60">
        <v>0</v>
      </c>
      <c r="H7" s="61">
        <v>0</v>
      </c>
      <c r="I7" s="61"/>
      <c r="J7" s="62"/>
      <c r="K7" s="81"/>
      <c r="L7" s="60">
        <v>0</v>
      </c>
      <c r="M7" s="61">
        <v>0</v>
      </c>
      <c r="N7" s="61"/>
      <c r="O7" s="62"/>
      <c r="P7" s="81"/>
      <c r="Q7" s="60">
        <v>0</v>
      </c>
      <c r="R7" s="61">
        <v>0</v>
      </c>
      <c r="S7" s="61"/>
      <c r="T7" s="62"/>
      <c r="U7" s="81"/>
    </row>
    <row r="8" spans="1:21" ht="20" customHeight="1" x14ac:dyDescent="0.15">
      <c r="A8" s="12">
        <v>5</v>
      </c>
      <c r="B8" s="60">
        <v>0</v>
      </c>
      <c r="C8" s="61">
        <v>0</v>
      </c>
      <c r="D8" s="61"/>
      <c r="E8" s="62"/>
      <c r="F8" s="81"/>
      <c r="G8" s="60">
        <v>0</v>
      </c>
      <c r="H8" s="61">
        <v>0</v>
      </c>
      <c r="I8" s="61"/>
      <c r="J8" s="62"/>
      <c r="K8" s="81"/>
      <c r="L8" s="60">
        <v>0</v>
      </c>
      <c r="M8" s="61">
        <v>0</v>
      </c>
      <c r="N8" s="61"/>
      <c r="O8" s="62"/>
      <c r="P8" s="81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81"/>
    </row>
    <row r="9" spans="1:21" ht="20" customHeight="1" x14ac:dyDescent="0.15">
      <c r="A9" s="12">
        <v>6</v>
      </c>
      <c r="B9" s="60">
        <v>0</v>
      </c>
      <c r="C9" s="61">
        <v>0</v>
      </c>
      <c r="D9" s="61"/>
      <c r="E9" s="62"/>
      <c r="F9" s="81"/>
      <c r="G9" s="60">
        <v>0</v>
      </c>
      <c r="H9" s="61">
        <v>0</v>
      </c>
      <c r="I9" s="61"/>
      <c r="J9" s="62"/>
      <c r="K9" s="81"/>
      <c r="L9" s="60">
        <v>0</v>
      </c>
      <c r="M9" s="61">
        <v>0</v>
      </c>
      <c r="N9" s="61"/>
      <c r="O9" s="62"/>
      <c r="P9" s="81"/>
      <c r="Q9" s="60">
        <v>0</v>
      </c>
      <c r="R9" s="61">
        <v>0</v>
      </c>
      <c r="S9" s="61"/>
      <c r="T9" s="62"/>
      <c r="U9" s="81"/>
    </row>
    <row r="10" spans="1:21" ht="20" customHeight="1" x14ac:dyDescent="0.15">
      <c r="A10" s="12">
        <v>7</v>
      </c>
      <c r="B10" s="60">
        <v>0</v>
      </c>
      <c r="C10" s="61">
        <v>0</v>
      </c>
      <c r="D10" s="61"/>
      <c r="E10" s="62"/>
      <c r="F10" s="81"/>
      <c r="G10" s="60">
        <v>0</v>
      </c>
      <c r="H10" s="61">
        <v>0</v>
      </c>
      <c r="I10" s="61"/>
      <c r="J10" s="62"/>
      <c r="K10" s="81"/>
      <c r="L10" s="60">
        <v>4950</v>
      </c>
      <c r="M10" s="61">
        <v>-4950</v>
      </c>
      <c r="N10" s="61"/>
      <c r="O10" s="62"/>
      <c r="P10" s="81"/>
      <c r="Q10" s="60">
        <v>0</v>
      </c>
      <c r="R10" s="61">
        <v>0</v>
      </c>
      <c r="S10" s="61"/>
      <c r="T10" s="62"/>
      <c r="U10" s="81"/>
    </row>
    <row r="11" spans="1:21" ht="20" customHeight="1" x14ac:dyDescent="0.15">
      <c r="A11" s="12">
        <v>8</v>
      </c>
      <c r="B11" s="60">
        <v>0</v>
      </c>
      <c r="C11" s="61">
        <v>0</v>
      </c>
      <c r="D11" s="61">
        <v>0</v>
      </c>
      <c r="E11" s="62"/>
      <c r="F11" s="81"/>
      <c r="G11" s="60">
        <f>4108</f>
        <v>4108</v>
      </c>
      <c r="H11" s="61">
        <f>-5842</f>
        <v>-5842</v>
      </c>
      <c r="I11" s="61">
        <f>1733</f>
        <v>1733</v>
      </c>
      <c r="J11" s="62"/>
      <c r="K11" s="81"/>
      <c r="L11" s="60">
        <v>0</v>
      </c>
      <c r="M11" s="61">
        <v>0</v>
      </c>
      <c r="N11" s="61">
        <v>0</v>
      </c>
      <c r="O11" s="62"/>
      <c r="P11" s="81"/>
      <c r="Q11" s="60">
        <v>0</v>
      </c>
      <c r="R11" s="61">
        <v>0</v>
      </c>
      <c r="S11" s="61">
        <v>0</v>
      </c>
      <c r="T11" s="62"/>
      <c r="U11" s="81"/>
    </row>
    <row r="12" spans="1:21" ht="20" customHeight="1" x14ac:dyDescent="0.15">
      <c r="A12" s="12">
        <v>9</v>
      </c>
      <c r="B12" s="60"/>
      <c r="C12" s="61">
        <v>0</v>
      </c>
      <c r="D12" s="61">
        <v>0</v>
      </c>
      <c r="E12" s="62"/>
      <c r="F12" s="81"/>
      <c r="G12" s="60"/>
      <c r="H12" s="61">
        <v>0</v>
      </c>
      <c r="I12" s="61">
        <v>0</v>
      </c>
      <c r="J12" s="62"/>
      <c r="K12" s="81"/>
      <c r="L12" s="60"/>
      <c r="M12" s="61">
        <v>0</v>
      </c>
      <c r="N12" s="61">
        <v>0</v>
      </c>
      <c r="O12" s="62"/>
      <c r="P12" s="81"/>
      <c r="Q12" s="60"/>
      <c r="R12" s="61">
        <f>1733</f>
        <v>1733</v>
      </c>
      <c r="S12" s="61">
        <f>-1733</f>
        <v>-1733</v>
      </c>
      <c r="T12" s="62"/>
      <c r="U12" s="81"/>
    </row>
    <row r="13" spans="1:21" ht="20" customHeight="1" x14ac:dyDescent="0.15">
      <c r="A13" s="12">
        <v>10</v>
      </c>
      <c r="B13" s="60">
        <v>0</v>
      </c>
      <c r="C13" s="61">
        <v>0</v>
      </c>
      <c r="D13" s="61"/>
      <c r="E13" s="62"/>
      <c r="F13" s="81"/>
      <c r="G13" s="60">
        <v>0</v>
      </c>
      <c r="H13" s="61">
        <v>0</v>
      </c>
      <c r="I13" s="61"/>
      <c r="J13" s="62"/>
      <c r="K13" s="81"/>
      <c r="L13" s="60">
        <v>0</v>
      </c>
      <c r="M13" s="61">
        <v>0</v>
      </c>
      <c r="N13" s="61"/>
      <c r="O13" s="62"/>
      <c r="P13" s="81"/>
      <c r="Q13" s="60">
        <v>0</v>
      </c>
      <c r="R13" s="61">
        <v>0</v>
      </c>
      <c r="S13" s="61"/>
      <c r="T13" s="62"/>
      <c r="U13" s="81"/>
    </row>
    <row r="14" spans="1:21" ht="20" customHeight="1" x14ac:dyDescent="0.15">
      <c r="A14" s="12">
        <v>11</v>
      </c>
      <c r="B14" s="60">
        <v>0</v>
      </c>
      <c r="C14" s="61">
        <v>0</v>
      </c>
      <c r="D14" s="61"/>
      <c r="E14" s="62"/>
      <c r="F14" s="81"/>
      <c r="G14" s="60">
        <v>0</v>
      </c>
      <c r="H14" s="61">
        <v>0</v>
      </c>
      <c r="I14" s="61"/>
      <c r="J14" s="62"/>
      <c r="K14" s="81"/>
      <c r="L14" s="60">
        <v>0</v>
      </c>
      <c r="M14" s="61">
        <v>0</v>
      </c>
      <c r="N14" s="61"/>
      <c r="O14" s="62"/>
      <c r="P14" s="81"/>
      <c r="Q14" s="60">
        <v>0</v>
      </c>
      <c r="R14" s="61">
        <v>0</v>
      </c>
      <c r="S14" s="61"/>
      <c r="T14" s="62"/>
      <c r="U14" s="81"/>
    </row>
    <row r="15" spans="1:21" ht="20" customHeight="1" x14ac:dyDescent="0.15">
      <c r="A15" s="12">
        <v>12</v>
      </c>
      <c r="B15" s="60">
        <v>0</v>
      </c>
      <c r="C15" s="61">
        <v>0</v>
      </c>
      <c r="D15" s="61"/>
      <c r="E15" s="62"/>
      <c r="F15" s="81"/>
      <c r="G15" s="60">
        <v>0</v>
      </c>
      <c r="H15" s="61">
        <v>0</v>
      </c>
      <c r="I15" s="61"/>
      <c r="J15" s="62"/>
      <c r="K15" s="81"/>
      <c r="L15" s="60">
        <v>0</v>
      </c>
      <c r="M15" s="61">
        <v>0</v>
      </c>
      <c r="N15" s="61"/>
      <c r="O15" s="62"/>
      <c r="P15" s="81"/>
      <c r="Q15" s="60">
        <v>0</v>
      </c>
      <c r="R15" s="61">
        <v>0</v>
      </c>
      <c r="S15" s="61"/>
      <c r="T15" s="62"/>
      <c r="U15" s="81"/>
    </row>
    <row r="16" spans="1:21" ht="20" customHeight="1" x14ac:dyDescent="0.15">
      <c r="A16" s="12">
        <v>13</v>
      </c>
      <c r="B16" s="60">
        <v>0</v>
      </c>
      <c r="C16" s="61">
        <v>0</v>
      </c>
      <c r="D16" s="61"/>
      <c r="E16" s="62"/>
      <c r="F16" s="81"/>
      <c r="G16" s="60">
        <v>-10000</v>
      </c>
      <c r="H16" s="61">
        <v>10050</v>
      </c>
      <c r="I16" s="61"/>
      <c r="J16" s="62"/>
      <c r="K16" s="81"/>
      <c r="L16" s="60">
        <v>0</v>
      </c>
      <c r="M16" s="61">
        <v>0</v>
      </c>
      <c r="N16" s="61"/>
      <c r="O16" s="62"/>
      <c r="P16" s="81"/>
      <c r="Q16" s="60">
        <v>0</v>
      </c>
      <c r="R16" s="61">
        <v>0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v>0</v>
      </c>
      <c r="D17" s="61">
        <v>0</v>
      </c>
      <c r="E17" s="62"/>
      <c r="F17" s="81"/>
      <c r="G17" s="60"/>
      <c r="H17" s="61">
        <v>0</v>
      </c>
      <c r="I17" s="61">
        <v>0</v>
      </c>
      <c r="J17" s="62"/>
      <c r="K17" s="81"/>
      <c r="L17" s="60"/>
      <c r="M17" s="61">
        <v>0</v>
      </c>
      <c r="N17" s="61">
        <v>0</v>
      </c>
      <c r="O17" s="62"/>
      <c r="P17" s="81"/>
      <c r="Q17" s="60"/>
      <c r="R17" s="61">
        <v>0</v>
      </c>
      <c r="S17" s="61">
        <v>0</v>
      </c>
      <c r="T17" s="62"/>
      <c r="U17" s="81"/>
    </row>
    <row r="18" spans="1:21" ht="20" customHeight="1" x14ac:dyDescent="0.15">
      <c r="A18" s="12">
        <v>15</v>
      </c>
      <c r="B18" s="60">
        <v>0</v>
      </c>
      <c r="C18" s="61">
        <v>0</v>
      </c>
      <c r="D18" s="61"/>
      <c r="E18" s="62"/>
      <c r="F18" s="81"/>
      <c r="G18" s="60">
        <v>0</v>
      </c>
      <c r="H18" s="61">
        <v>0</v>
      </c>
      <c r="I18" s="61"/>
      <c r="J18" s="62"/>
      <c r="K18" s="81"/>
      <c r="L18" s="60">
        <v>0</v>
      </c>
      <c r="M18" s="61">
        <v>0</v>
      </c>
      <c r="N18" s="61"/>
      <c r="O18" s="62"/>
      <c r="P18" s="81"/>
      <c r="Q18" s="60">
        <v>0</v>
      </c>
      <c r="R18" s="61">
        <v>0</v>
      </c>
      <c r="S18" s="61"/>
      <c r="T18" s="62"/>
      <c r="U18" s="81"/>
    </row>
    <row r="19" spans="1:21" ht="20" customHeight="1" x14ac:dyDescent="0.15">
      <c r="A19" s="12">
        <v>16</v>
      </c>
      <c r="B19" s="60">
        <v>0</v>
      </c>
      <c r="C19" s="61">
        <v>0</v>
      </c>
      <c r="D19" s="61"/>
      <c r="E19" s="62"/>
      <c r="F19" s="81"/>
      <c r="G19" s="60">
        <v>0</v>
      </c>
      <c r="H19" s="61">
        <v>0</v>
      </c>
      <c r="I19" s="61"/>
      <c r="J19" s="62"/>
      <c r="K19" s="81"/>
      <c r="L19" s="60">
        <v>0</v>
      </c>
      <c r="M19" s="61">
        <v>0</v>
      </c>
      <c r="N19" s="61"/>
      <c r="O19" s="62"/>
      <c r="P19" s="81"/>
      <c r="Q19" s="60">
        <v>0</v>
      </c>
      <c r="R19" s="61">
        <v>0</v>
      </c>
      <c r="S19" s="61"/>
      <c r="T19" s="62"/>
      <c r="U19" s="81"/>
    </row>
    <row r="20" spans="1:21" ht="20.75" customHeight="1" thickBot="1" x14ac:dyDescent="0.2">
      <c r="A20" s="17">
        <v>17</v>
      </c>
      <c r="B20" s="82">
        <v>0</v>
      </c>
      <c r="C20" s="83">
        <v>0</v>
      </c>
      <c r="D20" s="83"/>
      <c r="E20" s="75"/>
      <c r="F20" s="84"/>
      <c r="G20" s="82">
        <v>0</v>
      </c>
      <c r="H20" s="83">
        <v>0</v>
      </c>
      <c r="I20" s="83"/>
      <c r="J20" s="75"/>
      <c r="K20" s="84"/>
      <c r="L20" s="82">
        <v>0</v>
      </c>
      <c r="M20" s="83">
        <v>0</v>
      </c>
      <c r="N20" s="83"/>
      <c r="O20" s="75"/>
      <c r="P20" s="84"/>
      <c r="Q20" s="82">
        <v>0</v>
      </c>
      <c r="R20" s="83">
        <v>0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v>0</v>
      </c>
      <c r="D21" s="68">
        <v>0</v>
      </c>
      <c r="E21" s="67"/>
      <c r="F21" s="86"/>
      <c r="G21" s="87"/>
      <c r="H21" s="68">
        <v>-2425</v>
      </c>
      <c r="I21" s="68">
        <v>2425</v>
      </c>
      <c r="J21" s="67"/>
      <c r="K21" s="86"/>
      <c r="L21" s="88"/>
      <c r="M21" s="67">
        <v>0</v>
      </c>
      <c r="N21" s="67">
        <v>0</v>
      </c>
      <c r="O21" s="67"/>
      <c r="P21" s="89"/>
      <c r="Q21" s="87"/>
      <c r="R21" s="68">
        <v>0</v>
      </c>
      <c r="S21" s="68">
        <v>0</v>
      </c>
      <c r="T21" s="67"/>
      <c r="U21" s="86"/>
    </row>
    <row r="22" spans="1:21" ht="20" customHeight="1" x14ac:dyDescent="0.15">
      <c r="A22" s="12">
        <v>1</v>
      </c>
      <c r="B22" s="63">
        <v>0</v>
      </c>
      <c r="C22" s="61">
        <v>0</v>
      </c>
      <c r="D22" s="61"/>
      <c r="E22" s="62"/>
      <c r="F22" s="90"/>
      <c r="G22" s="60">
        <v>0</v>
      </c>
      <c r="H22" s="61">
        <v>0</v>
      </c>
      <c r="I22" s="61"/>
      <c r="J22" s="62"/>
      <c r="K22" s="90"/>
      <c r="L22" s="66">
        <v>0</v>
      </c>
      <c r="M22" s="62">
        <v>0</v>
      </c>
      <c r="N22" s="62"/>
      <c r="O22" s="62"/>
      <c r="P22" s="81"/>
      <c r="Q22" s="60">
        <v>0</v>
      </c>
      <c r="R22" s="61">
        <v>0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v>0</v>
      </c>
      <c r="D23" s="61">
        <v>0</v>
      </c>
      <c r="E23" s="62"/>
      <c r="F23" s="90"/>
      <c r="G23" s="60"/>
      <c r="H23" s="61">
        <v>0</v>
      </c>
      <c r="I23" s="61">
        <v>0</v>
      </c>
      <c r="J23" s="62"/>
      <c r="K23" s="90"/>
      <c r="L23" s="66"/>
      <c r="M23" s="62">
        <v>0</v>
      </c>
      <c r="N23" s="62">
        <v>0</v>
      </c>
      <c r="O23" s="62"/>
      <c r="P23" s="81"/>
      <c r="Q23" s="60"/>
      <c r="R23" s="61">
        <v>0</v>
      </c>
      <c r="S23" s="61">
        <v>0</v>
      </c>
      <c r="T23" s="62"/>
      <c r="U23" s="90"/>
    </row>
    <row r="24" spans="1:21" ht="20" customHeight="1" x14ac:dyDescent="0.15">
      <c r="A24" s="12">
        <v>3</v>
      </c>
      <c r="B24" s="63">
        <v>0</v>
      </c>
      <c r="C24" s="61">
        <v>0</v>
      </c>
      <c r="D24" s="61"/>
      <c r="E24" s="62"/>
      <c r="F24" s="90"/>
      <c r="G24" s="60">
        <v>-5050</v>
      </c>
      <c r="H24" s="61">
        <v>5050</v>
      </c>
      <c r="I24" s="61"/>
      <c r="J24" s="62"/>
      <c r="K24" s="90"/>
      <c r="L24" s="66">
        <v>0</v>
      </c>
      <c r="M24" s="62">
        <v>0</v>
      </c>
      <c r="N24" s="62"/>
      <c r="O24" s="62"/>
      <c r="P24" s="81"/>
      <c r="Q24" s="60">
        <v>0</v>
      </c>
      <c r="R24" s="61">
        <v>0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v>0</v>
      </c>
      <c r="D25" s="61">
        <v>0</v>
      </c>
      <c r="E25" s="62"/>
      <c r="F25" s="90"/>
      <c r="G25" s="60"/>
      <c r="H25" s="61">
        <f>3467</f>
        <v>3467</v>
      </c>
      <c r="I25" s="61">
        <f>-3467</f>
        <v>-3467</v>
      </c>
      <c r="J25" s="62"/>
      <c r="K25" s="90"/>
      <c r="L25" s="66"/>
      <c r="M25" s="62">
        <v>0</v>
      </c>
      <c r="N25" s="62">
        <v>0</v>
      </c>
      <c r="O25" s="62"/>
      <c r="P25" s="81"/>
      <c r="Q25" s="60"/>
      <c r="R25" s="61">
        <v>0</v>
      </c>
      <c r="S25" s="61">
        <v>0</v>
      </c>
      <c r="T25" s="62"/>
      <c r="U25" s="90"/>
    </row>
    <row r="26" spans="1:21" ht="20" customHeight="1" x14ac:dyDescent="0.15">
      <c r="A26" s="12">
        <v>5</v>
      </c>
      <c r="B26" s="63">
        <v>0</v>
      </c>
      <c r="C26" s="61">
        <v>0</v>
      </c>
      <c r="D26" s="61"/>
      <c r="E26" s="62"/>
      <c r="F26" s="90"/>
      <c r="G26" s="60">
        <v>4950</v>
      </c>
      <c r="H26" s="61">
        <v>-4950</v>
      </c>
      <c r="I26" s="61"/>
      <c r="J26" s="62"/>
      <c r="K26" s="90"/>
      <c r="L26" s="91" cm="1">
        <f t="array" ref="L26">BankRound((4950)*0.5)</f>
        <v>2475</v>
      </c>
      <c r="M26" s="92" cm="1">
        <f t="array" ref="M26">BankRound((-4950)*0.5)</f>
        <v>-2475</v>
      </c>
      <c r="N26" s="62"/>
      <c r="O26" s="62"/>
      <c r="P26" s="81"/>
      <c r="Q26" s="60">
        <v>0</v>
      </c>
      <c r="R26" s="61">
        <v>0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90"/>
      <c r="G27" s="60"/>
      <c r="H27" s="61">
        <v>0</v>
      </c>
      <c r="I27" s="61">
        <v>0</v>
      </c>
      <c r="J27" s="62"/>
      <c r="K27" s="90"/>
      <c r="L27" s="66"/>
      <c r="M27" s="62">
        <v>0</v>
      </c>
      <c r="N27" s="62">
        <v>0</v>
      </c>
      <c r="O27" s="62"/>
      <c r="P27" s="81"/>
      <c r="Q27" s="60"/>
      <c r="R27" s="61">
        <v>0</v>
      </c>
      <c r="S27" s="61">
        <v>0</v>
      </c>
      <c r="T27" s="62"/>
      <c r="U27" s="90"/>
    </row>
    <row r="28" spans="1:21" ht="20" customHeight="1" x14ac:dyDescent="0.15">
      <c r="A28" s="12">
        <v>7</v>
      </c>
      <c r="B28" s="63">
        <v>0</v>
      </c>
      <c r="C28" s="61">
        <v>0</v>
      </c>
      <c r="D28" s="61"/>
      <c r="E28" s="62"/>
      <c r="F28" s="90"/>
      <c r="G28" s="60">
        <v>0</v>
      </c>
      <c r="H28" s="61">
        <v>0</v>
      </c>
      <c r="I28" s="61"/>
      <c r="J28" s="62"/>
      <c r="K28" s="90"/>
      <c r="L28" s="66">
        <v>0</v>
      </c>
      <c r="M28" s="62">
        <v>0</v>
      </c>
      <c r="N28" s="62"/>
      <c r="O28" s="62"/>
      <c r="P28" s="81"/>
      <c r="Q28" s="60">
        <v>0</v>
      </c>
      <c r="R28" s="61">
        <v>0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v>0</v>
      </c>
      <c r="D29" s="61">
        <v>0</v>
      </c>
      <c r="E29" s="62"/>
      <c r="F29" s="90"/>
      <c r="G29" s="60"/>
      <c r="H29" s="61">
        <v>0</v>
      </c>
      <c r="I29" s="61">
        <v>0</v>
      </c>
      <c r="J29" s="62"/>
      <c r="K29" s="90"/>
      <c r="L29" s="66"/>
      <c r="M29" s="62">
        <v>0</v>
      </c>
      <c r="N29" s="62">
        <v>0</v>
      </c>
      <c r="O29" s="62"/>
      <c r="P29" s="81"/>
      <c r="Q29" s="60"/>
      <c r="R29" s="61">
        <f>2625</f>
        <v>2625</v>
      </c>
      <c r="S29" s="61">
        <f>-2625</f>
        <v>-2625</v>
      </c>
      <c r="T29" s="62"/>
      <c r="U29" s="90"/>
    </row>
    <row r="30" spans="1:21" ht="20" customHeight="1" x14ac:dyDescent="0.15">
      <c r="A30" s="12">
        <v>9</v>
      </c>
      <c r="B30" s="63">
        <v>0</v>
      </c>
      <c r="C30" s="61">
        <v>0</v>
      </c>
      <c r="D30" s="61"/>
      <c r="E30" s="62"/>
      <c r="F30" s="90"/>
      <c r="G30" s="60">
        <v>0</v>
      </c>
      <c r="H30" s="61">
        <v>0</v>
      </c>
      <c r="I30" s="61"/>
      <c r="J30" s="62"/>
      <c r="K30" s="90"/>
      <c r="L30" s="66">
        <v>0</v>
      </c>
      <c r="M30" s="62">
        <v>0</v>
      </c>
      <c r="N30" s="62"/>
      <c r="O30" s="62"/>
      <c r="P30" s="81"/>
      <c r="Q30" s="60">
        <v>0</v>
      </c>
      <c r="R30" s="61">
        <v>0</v>
      </c>
      <c r="S30" s="61"/>
      <c r="T30" s="62"/>
      <c r="U30" s="9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61"/>
      <c r="E31" s="62"/>
      <c r="F31" s="90"/>
      <c r="G31" s="60">
        <v>0</v>
      </c>
      <c r="H31" s="61">
        <v>0</v>
      </c>
      <c r="I31" s="61"/>
      <c r="J31" s="62"/>
      <c r="K31" s="90"/>
      <c r="L31" s="66">
        <v>0</v>
      </c>
      <c r="M31" s="62">
        <v>0</v>
      </c>
      <c r="N31" s="62"/>
      <c r="O31" s="62"/>
      <c r="P31" s="81"/>
      <c r="Q31" s="60">
        <v>0</v>
      </c>
      <c r="R31" s="61">
        <v>0</v>
      </c>
      <c r="S31" s="61"/>
      <c r="T31" s="62"/>
      <c r="U31" s="90"/>
    </row>
    <row r="32" spans="1:21" ht="20" customHeight="1" x14ac:dyDescent="0.15">
      <c r="A32" s="12">
        <v>11</v>
      </c>
      <c r="B32" s="63">
        <v>0</v>
      </c>
      <c r="C32" s="61">
        <v>0</v>
      </c>
      <c r="D32" s="61"/>
      <c r="E32" s="62"/>
      <c r="F32" s="90"/>
      <c r="G32" s="60">
        <v>0</v>
      </c>
      <c r="H32" s="61">
        <v>0</v>
      </c>
      <c r="I32" s="61"/>
      <c r="J32" s="62"/>
      <c r="K32" s="90"/>
      <c r="L32" s="66">
        <v>0</v>
      </c>
      <c r="M32" s="62">
        <v>0</v>
      </c>
      <c r="N32" s="62"/>
      <c r="O32" s="62"/>
      <c r="P32" s="81"/>
      <c r="Q32" s="60">
        <v>0</v>
      </c>
      <c r="R32" s="61">
        <v>0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v>0</v>
      </c>
      <c r="D33" s="61">
        <v>0</v>
      </c>
      <c r="E33" s="62"/>
      <c r="F33" s="90"/>
      <c r="G33" s="60"/>
      <c r="H33" s="61">
        <v>0</v>
      </c>
      <c r="I33" s="61">
        <v>0</v>
      </c>
      <c r="J33" s="62"/>
      <c r="K33" s="90"/>
      <c r="L33" s="66"/>
      <c r="M33" s="62">
        <v>0</v>
      </c>
      <c r="N33" s="62">
        <v>0</v>
      </c>
      <c r="O33" s="62"/>
      <c r="P33" s="81"/>
      <c r="Q33" s="60"/>
      <c r="R33" s="61">
        <v>0</v>
      </c>
      <c r="S33" s="61">
        <v>0</v>
      </c>
      <c r="T33" s="62"/>
      <c r="U33" s="90"/>
    </row>
    <row r="34" spans="1:21" ht="20" customHeight="1" x14ac:dyDescent="0.15">
      <c r="A34" s="12">
        <v>13</v>
      </c>
      <c r="B34" s="63">
        <v>0</v>
      </c>
      <c r="C34" s="61">
        <v>0</v>
      </c>
      <c r="D34" s="61"/>
      <c r="E34" s="62"/>
      <c r="F34" s="90"/>
      <c r="G34" s="60">
        <v>0</v>
      </c>
      <c r="H34" s="61">
        <v>0</v>
      </c>
      <c r="I34" s="61"/>
      <c r="J34" s="62"/>
      <c r="K34" s="90"/>
      <c r="L34" s="66">
        <v>0</v>
      </c>
      <c r="M34" s="62">
        <v>0</v>
      </c>
      <c r="N34" s="62"/>
      <c r="O34" s="62"/>
      <c r="P34" s="81"/>
      <c r="Q34" s="60">
        <v>0</v>
      </c>
      <c r="R34" s="61">
        <v>0</v>
      </c>
      <c r="S34" s="61"/>
      <c r="T34" s="62"/>
      <c r="U34" s="90"/>
    </row>
    <row r="35" spans="1:21" ht="20" customHeight="1" x14ac:dyDescent="0.15">
      <c r="A35" s="12">
        <v>14</v>
      </c>
      <c r="B35" s="63">
        <v>0</v>
      </c>
      <c r="C35" s="61">
        <v>0</v>
      </c>
      <c r="D35" s="61"/>
      <c r="E35" s="62"/>
      <c r="F35" s="90"/>
      <c r="G35" s="60">
        <v>0</v>
      </c>
      <c r="H35" s="61">
        <v>0</v>
      </c>
      <c r="I35" s="61"/>
      <c r="J35" s="62"/>
      <c r="K35" s="90"/>
      <c r="L35" s="66">
        <v>0</v>
      </c>
      <c r="M35" s="62">
        <v>0</v>
      </c>
      <c r="N35" s="62"/>
      <c r="O35" s="62"/>
      <c r="P35" s="81"/>
      <c r="Q35" s="60">
        <f>4950</f>
        <v>4950</v>
      </c>
      <c r="R35" s="61">
        <f>-4950</f>
        <v>-4950</v>
      </c>
      <c r="S35" s="61"/>
      <c r="T35" s="62"/>
      <c r="U35" s="90"/>
    </row>
    <row r="36" spans="1:21" ht="20" customHeight="1" x14ac:dyDescent="0.15">
      <c r="A36" s="12">
        <v>15</v>
      </c>
      <c r="B36" s="63">
        <v>0</v>
      </c>
      <c r="C36" s="61">
        <v>0</v>
      </c>
      <c r="D36" s="61"/>
      <c r="E36" s="62"/>
      <c r="F36" s="90"/>
      <c r="G36" s="60">
        <v>0</v>
      </c>
      <c r="H36" s="61">
        <v>0</v>
      </c>
      <c r="I36" s="61"/>
      <c r="J36" s="62"/>
      <c r="K36" s="90"/>
      <c r="L36" s="66">
        <v>0</v>
      </c>
      <c r="M36" s="62">
        <v>0</v>
      </c>
      <c r="N36" s="62"/>
      <c r="O36" s="62"/>
      <c r="P36" s="81"/>
      <c r="Q36" s="60">
        <v>0</v>
      </c>
      <c r="R36" s="61">
        <v>0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v>0</v>
      </c>
      <c r="D37" s="61">
        <v>0</v>
      </c>
      <c r="E37" s="62"/>
      <c r="F37" s="90"/>
      <c r="G37" s="60"/>
      <c r="H37" s="61">
        <v>0</v>
      </c>
      <c r="I37" s="61">
        <v>0</v>
      </c>
      <c r="J37" s="62"/>
      <c r="K37" s="90"/>
      <c r="L37" s="66"/>
      <c r="M37" s="62">
        <v>0</v>
      </c>
      <c r="N37" s="62">
        <v>0</v>
      </c>
      <c r="O37" s="62"/>
      <c r="P37" s="81"/>
      <c r="Q37" s="60"/>
      <c r="R37" s="61">
        <v>0</v>
      </c>
      <c r="S37" s="61">
        <v>0</v>
      </c>
      <c r="T37" s="62"/>
      <c r="U37" s="90"/>
    </row>
    <row r="38" spans="1:21" ht="20" customHeight="1" x14ac:dyDescent="0.15">
      <c r="A38" s="12">
        <v>17</v>
      </c>
      <c r="B38" s="63">
        <v>0</v>
      </c>
      <c r="C38" s="61">
        <v>0</v>
      </c>
      <c r="D38" s="61"/>
      <c r="E38" s="62"/>
      <c r="F38" s="90"/>
      <c r="G38" s="60">
        <v>0</v>
      </c>
      <c r="H38" s="61">
        <v>0</v>
      </c>
      <c r="I38" s="61"/>
      <c r="J38" s="62"/>
      <c r="K38" s="90"/>
      <c r="L38" s="66">
        <v>0</v>
      </c>
      <c r="M38" s="62">
        <v>0</v>
      </c>
      <c r="N38" s="62"/>
      <c r="O38" s="62"/>
      <c r="P38" s="81"/>
      <c r="Q38" s="60">
        <v>0</v>
      </c>
      <c r="R38" s="61">
        <v>0</v>
      </c>
      <c r="S38" s="61"/>
      <c r="T38" s="62"/>
      <c r="U38" s="90"/>
    </row>
    <row r="39" spans="1:21" ht="20" customHeight="1" x14ac:dyDescent="0.15">
      <c r="A39" s="12">
        <v>18</v>
      </c>
      <c r="B39" s="63">
        <v>0</v>
      </c>
      <c r="C39" s="61">
        <v>0</v>
      </c>
      <c r="D39" s="61"/>
      <c r="E39" s="62"/>
      <c r="F39" s="90"/>
      <c r="G39" s="60">
        <v>0</v>
      </c>
      <c r="H39" s="61">
        <v>0</v>
      </c>
      <c r="I39" s="61"/>
      <c r="J39" s="62"/>
      <c r="K39" s="90"/>
      <c r="L39" s="66">
        <v>0</v>
      </c>
      <c r="M39" s="62">
        <v>0</v>
      </c>
      <c r="N39" s="62"/>
      <c r="O39" s="62"/>
      <c r="P39" s="81"/>
      <c r="Q39" s="60">
        <v>0</v>
      </c>
      <c r="R39" s="61">
        <v>0</v>
      </c>
      <c r="S39" s="61"/>
      <c r="T39" s="62"/>
      <c r="U39" s="90"/>
    </row>
    <row r="40" spans="1:21" ht="20.75" customHeight="1" thickBot="1" x14ac:dyDescent="0.2">
      <c r="A40" s="17">
        <v>19</v>
      </c>
      <c r="B40" s="93">
        <v>0</v>
      </c>
      <c r="C40" s="83">
        <v>0</v>
      </c>
      <c r="D40" s="83"/>
      <c r="E40" s="75"/>
      <c r="F40" s="94"/>
      <c r="G40" s="82">
        <v>0</v>
      </c>
      <c r="H40" s="83">
        <v>0</v>
      </c>
      <c r="I40" s="83"/>
      <c r="J40" s="75"/>
      <c r="K40" s="94"/>
      <c r="L40" s="95">
        <v>0</v>
      </c>
      <c r="M40" s="75">
        <v>0</v>
      </c>
      <c r="N40" s="75"/>
      <c r="O40" s="75"/>
      <c r="P40" s="84"/>
      <c r="Q40" s="82">
        <v>0</v>
      </c>
      <c r="R40" s="83">
        <v>0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v>0</v>
      </c>
      <c r="D41" s="68">
        <v>0</v>
      </c>
      <c r="E41" s="68">
        <v>0</v>
      </c>
      <c r="F41" s="86"/>
      <c r="G41" s="87"/>
      <c r="H41" s="68">
        <v>0</v>
      </c>
      <c r="I41" s="68">
        <v>0</v>
      </c>
      <c r="J41" s="68">
        <v>0</v>
      </c>
      <c r="K41" s="86"/>
      <c r="L41" s="87"/>
      <c r="M41" s="68">
        <v>0</v>
      </c>
      <c r="N41" s="68">
        <v>0</v>
      </c>
      <c r="O41" s="68">
        <v>0</v>
      </c>
      <c r="P41" s="86"/>
      <c r="Q41" s="87"/>
      <c r="R41" s="68">
        <v>0</v>
      </c>
      <c r="S41" s="68">
        <v>0</v>
      </c>
      <c r="T41" s="68">
        <v>0</v>
      </c>
      <c r="U41" s="86"/>
    </row>
    <row r="42" spans="1:21" ht="20" customHeight="1" x14ac:dyDescent="0.15">
      <c r="A42" s="12">
        <v>1</v>
      </c>
      <c r="B42" s="63">
        <v>0</v>
      </c>
      <c r="C42" s="61">
        <v>0</v>
      </c>
      <c r="D42" s="61"/>
      <c r="E42" s="61"/>
      <c r="F42" s="90"/>
      <c r="G42" s="60">
        <v>0</v>
      </c>
      <c r="H42" s="61">
        <v>0</v>
      </c>
      <c r="I42" s="61"/>
      <c r="J42" s="61"/>
      <c r="K42" s="90"/>
      <c r="L42" s="60">
        <v>0</v>
      </c>
      <c r="M42" s="61">
        <v>0</v>
      </c>
      <c r="N42" s="61"/>
      <c r="O42" s="61"/>
      <c r="P42" s="90"/>
      <c r="Q42" s="60">
        <v>0</v>
      </c>
      <c r="R42" s="61">
        <v>0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v>0</v>
      </c>
      <c r="D43" s="61">
        <v>0</v>
      </c>
      <c r="E43" s="61">
        <v>0</v>
      </c>
      <c r="F43" s="90"/>
      <c r="G43" s="60"/>
      <c r="H43" s="61">
        <v>0</v>
      </c>
      <c r="I43" s="61">
        <v>0</v>
      </c>
      <c r="J43" s="61">
        <v>0</v>
      </c>
      <c r="K43" s="90"/>
      <c r="L43" s="60"/>
      <c r="M43" s="61">
        <v>0</v>
      </c>
      <c r="N43" s="61">
        <v>0</v>
      </c>
      <c r="O43" s="61">
        <v>0</v>
      </c>
      <c r="P43" s="90"/>
      <c r="Q43" s="60"/>
      <c r="R43" s="61">
        <v>0</v>
      </c>
      <c r="S43" s="61">
        <v>0</v>
      </c>
      <c r="T43" s="61">
        <v>0</v>
      </c>
      <c r="U43" s="90"/>
    </row>
    <row r="44" spans="1:21" ht="20" customHeight="1" x14ac:dyDescent="0.15">
      <c r="A44" s="12">
        <v>3</v>
      </c>
      <c r="B44" s="63">
        <v>0</v>
      </c>
      <c r="C44" s="61">
        <v>0</v>
      </c>
      <c r="D44" s="61"/>
      <c r="E44" s="61"/>
      <c r="F44" s="90"/>
      <c r="G44" s="60">
        <v>0</v>
      </c>
      <c r="H44" s="61">
        <v>0</v>
      </c>
      <c r="I44" s="61"/>
      <c r="J44" s="61"/>
      <c r="K44" s="90"/>
      <c r="L44" s="60">
        <v>0</v>
      </c>
      <c r="M44" s="61">
        <v>0</v>
      </c>
      <c r="N44" s="61"/>
      <c r="O44" s="61"/>
      <c r="P44" s="90"/>
      <c r="Q44" s="60">
        <v>0</v>
      </c>
      <c r="R44" s="61">
        <v>0</v>
      </c>
      <c r="S44" s="61"/>
      <c r="T44" s="61"/>
      <c r="U44" s="90"/>
    </row>
    <row r="45" spans="1:21" ht="20" customHeight="1" x14ac:dyDescent="0.15">
      <c r="A45" s="12">
        <v>4</v>
      </c>
      <c r="B45" s="63">
        <v>0</v>
      </c>
      <c r="C45" s="61">
        <v>0</v>
      </c>
      <c r="D45" s="61">
        <v>0</v>
      </c>
      <c r="E45" s="61"/>
      <c r="F45" s="90"/>
      <c r="G45" s="60">
        <v>0</v>
      </c>
      <c r="H45" s="61">
        <v>0</v>
      </c>
      <c r="I45" s="61">
        <v>0</v>
      </c>
      <c r="J45" s="61"/>
      <c r="K45" s="90"/>
      <c r="L45" s="60">
        <v>0</v>
      </c>
      <c r="M45" s="61">
        <v>0</v>
      </c>
      <c r="N45" s="61">
        <v>0</v>
      </c>
      <c r="O45" s="61"/>
      <c r="P45" s="90"/>
      <c r="Q45" s="60">
        <v>0</v>
      </c>
      <c r="R45" s="61">
        <v>0</v>
      </c>
      <c r="S45" s="61">
        <v>0</v>
      </c>
      <c r="T45" s="61"/>
      <c r="U45" s="90"/>
    </row>
    <row r="46" spans="1:21" ht="20" customHeight="1" x14ac:dyDescent="0.15">
      <c r="A46" s="12">
        <v>5</v>
      </c>
      <c r="B46" s="63">
        <v>0</v>
      </c>
      <c r="C46" s="61">
        <v>0</v>
      </c>
      <c r="D46" s="61"/>
      <c r="E46" s="61"/>
      <c r="F46" s="90"/>
      <c r="G46" s="60">
        <v>0</v>
      </c>
      <c r="H46" s="61">
        <v>0</v>
      </c>
      <c r="I46" s="61"/>
      <c r="J46" s="61"/>
      <c r="K46" s="90"/>
      <c r="L46" s="60">
        <v>0</v>
      </c>
      <c r="M46" s="61">
        <v>0</v>
      </c>
      <c r="N46" s="61"/>
      <c r="O46" s="61"/>
      <c r="P46" s="90"/>
      <c r="Q46" s="60">
        <v>0</v>
      </c>
      <c r="R46" s="61">
        <v>0</v>
      </c>
      <c r="S46" s="61"/>
      <c r="T46" s="61"/>
      <c r="U46" s="90"/>
    </row>
    <row r="47" spans="1:21" ht="20" customHeight="1" x14ac:dyDescent="0.15">
      <c r="A47" s="12">
        <v>6</v>
      </c>
      <c r="B47" s="63">
        <v>0</v>
      </c>
      <c r="C47" s="61">
        <v>0</v>
      </c>
      <c r="D47" s="61">
        <v>0</v>
      </c>
      <c r="E47" s="61"/>
      <c r="F47" s="90"/>
      <c r="G47" s="60">
        <v>0</v>
      </c>
      <c r="H47" s="61">
        <v>0</v>
      </c>
      <c r="I47" s="61">
        <v>0</v>
      </c>
      <c r="J47" s="61"/>
      <c r="K47" s="90"/>
      <c r="L47" s="60">
        <v>0</v>
      </c>
      <c r="M47" s="61">
        <v>0</v>
      </c>
      <c r="N47" s="61">
        <v>0</v>
      </c>
      <c r="O47" s="61"/>
      <c r="P47" s="90"/>
      <c r="Q47" s="60">
        <v>0</v>
      </c>
      <c r="R47" s="61">
        <v>0</v>
      </c>
      <c r="S47" s="61">
        <v>0</v>
      </c>
      <c r="T47" s="61"/>
      <c r="U47" s="90"/>
    </row>
    <row r="48" spans="1:21" ht="20" customHeight="1" x14ac:dyDescent="0.15">
      <c r="A48" s="12">
        <v>7</v>
      </c>
      <c r="B48" s="63">
        <v>0</v>
      </c>
      <c r="C48" s="61">
        <v>0</v>
      </c>
      <c r="D48" s="61"/>
      <c r="E48" s="61"/>
      <c r="F48" s="90"/>
      <c r="G48" s="60">
        <v>0</v>
      </c>
      <c r="H48" s="61">
        <v>0</v>
      </c>
      <c r="I48" s="61"/>
      <c r="J48" s="61"/>
      <c r="K48" s="90"/>
      <c r="L48" s="60">
        <v>0</v>
      </c>
      <c r="M48" s="61">
        <v>0</v>
      </c>
      <c r="N48" s="61"/>
      <c r="O48" s="61"/>
      <c r="P48" s="90"/>
      <c r="Q48" s="60">
        <v>0</v>
      </c>
      <c r="R48" s="61">
        <v>0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90"/>
      <c r="G49" s="60"/>
      <c r="H49" s="61">
        <f>-3217</f>
        <v>-3217</v>
      </c>
      <c r="I49" s="61">
        <f>1733</f>
        <v>1733</v>
      </c>
      <c r="J49" s="61">
        <f>1483</f>
        <v>1483</v>
      </c>
      <c r="K49" s="90"/>
      <c r="L49" s="60"/>
      <c r="M49" s="61">
        <v>0</v>
      </c>
      <c r="N49" s="61">
        <v>0</v>
      </c>
      <c r="O49" s="61">
        <v>0</v>
      </c>
      <c r="P49" s="90"/>
      <c r="Q49" s="60"/>
      <c r="R49" s="61">
        <v>0</v>
      </c>
      <c r="S49" s="61">
        <v>0</v>
      </c>
      <c r="T49" s="61">
        <v>0</v>
      </c>
      <c r="U49" s="9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90"/>
      <c r="G50" s="60">
        <v>0</v>
      </c>
      <c r="H50" s="61">
        <v>0</v>
      </c>
      <c r="I50" s="61"/>
      <c r="J50" s="61"/>
      <c r="K50" s="90"/>
      <c r="L50" s="60">
        <v>0</v>
      </c>
      <c r="M50" s="61">
        <v>0</v>
      </c>
      <c r="N50" s="61"/>
      <c r="O50" s="61"/>
      <c r="P50" s="90"/>
      <c r="Q50" s="60">
        <v>0</v>
      </c>
      <c r="R50" s="61">
        <v>0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90"/>
      <c r="G51" s="60"/>
      <c r="H51" s="61">
        <v>0</v>
      </c>
      <c r="I51" s="61">
        <v>0</v>
      </c>
      <c r="J51" s="61">
        <v>0</v>
      </c>
      <c r="K51" s="90"/>
      <c r="L51" s="60"/>
      <c r="M51" s="61">
        <v>0</v>
      </c>
      <c r="N51" s="61">
        <v>0</v>
      </c>
      <c r="O51" s="61">
        <v>0</v>
      </c>
      <c r="P51" s="90"/>
      <c r="Q51" s="60"/>
      <c r="R51" s="61">
        <v>0</v>
      </c>
      <c r="S51" s="61">
        <v>0</v>
      </c>
      <c r="T51" s="61">
        <v>0</v>
      </c>
      <c r="U51" s="9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90"/>
      <c r="G52" s="60">
        <v>0</v>
      </c>
      <c r="H52" s="61">
        <v>0</v>
      </c>
      <c r="I52" s="61"/>
      <c r="J52" s="61"/>
      <c r="K52" s="90"/>
      <c r="L52" s="60">
        <v>0</v>
      </c>
      <c r="M52" s="61">
        <v>0</v>
      </c>
      <c r="N52" s="61"/>
      <c r="O52" s="61"/>
      <c r="P52" s="90"/>
      <c r="Q52" s="60">
        <v>0</v>
      </c>
      <c r="R52" s="61">
        <v>0</v>
      </c>
      <c r="S52" s="61"/>
      <c r="T52" s="61"/>
      <c r="U52" s="9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90"/>
      <c r="G53" s="60">
        <v>0</v>
      </c>
      <c r="H53" s="61">
        <v>0</v>
      </c>
      <c r="I53" s="61">
        <v>0</v>
      </c>
      <c r="J53" s="61"/>
      <c r="K53" s="90"/>
      <c r="L53" s="60">
        <v>0</v>
      </c>
      <c r="M53" s="61">
        <v>0</v>
      </c>
      <c r="N53" s="61">
        <v>0</v>
      </c>
      <c r="O53" s="61"/>
      <c r="P53" s="90"/>
      <c r="Q53" s="60">
        <v>0</v>
      </c>
      <c r="R53" s="61">
        <v>0</v>
      </c>
      <c r="S53" s="61">
        <v>0</v>
      </c>
      <c r="T53" s="61"/>
      <c r="U53" s="9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90"/>
      <c r="G54" s="60">
        <v>0</v>
      </c>
      <c r="H54" s="61">
        <v>0</v>
      </c>
      <c r="I54" s="61"/>
      <c r="J54" s="61"/>
      <c r="K54" s="90"/>
      <c r="L54" s="60">
        <v>0</v>
      </c>
      <c r="M54" s="61">
        <v>0</v>
      </c>
      <c r="N54" s="61"/>
      <c r="O54" s="61"/>
      <c r="P54" s="90"/>
      <c r="Q54" s="60">
        <v>0</v>
      </c>
      <c r="R54" s="61">
        <v>0</v>
      </c>
      <c r="S54" s="61"/>
      <c r="T54" s="61"/>
      <c r="U54" s="9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90"/>
      <c r="G55" s="60">
        <v>0</v>
      </c>
      <c r="H55" s="61">
        <v>0</v>
      </c>
      <c r="I55" s="61">
        <v>0</v>
      </c>
      <c r="J55" s="61"/>
      <c r="K55" s="90"/>
      <c r="L55" s="60">
        <v>0</v>
      </c>
      <c r="M55" s="61">
        <v>0</v>
      </c>
      <c r="N55" s="61">
        <v>0</v>
      </c>
      <c r="O55" s="61"/>
      <c r="P55" s="90"/>
      <c r="Q55" s="60">
        <v>0</v>
      </c>
      <c r="R55" s="61">
        <v>0</v>
      </c>
      <c r="S55" s="61">
        <v>0</v>
      </c>
      <c r="T55" s="61"/>
      <c r="U55" s="9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90"/>
      <c r="G56" s="60">
        <f>4700</f>
        <v>4700</v>
      </c>
      <c r="H56" s="61">
        <f>-4700</f>
        <v>-4700</v>
      </c>
      <c r="I56" s="61"/>
      <c r="J56" s="61"/>
      <c r="K56" s="90"/>
      <c r="L56" s="60">
        <v>0</v>
      </c>
      <c r="M56" s="61">
        <v>0</v>
      </c>
      <c r="N56" s="61"/>
      <c r="O56" s="61"/>
      <c r="P56" s="90"/>
      <c r="Q56" s="60">
        <v>0</v>
      </c>
      <c r="R56" s="61">
        <v>0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90"/>
      <c r="G57" s="60"/>
      <c r="H57" s="61">
        <v>0</v>
      </c>
      <c r="I57" s="61">
        <v>0</v>
      </c>
      <c r="J57" s="61"/>
      <c r="K57" s="90"/>
      <c r="L57" s="60"/>
      <c r="M57" s="61">
        <v>0</v>
      </c>
      <c r="N57" s="61">
        <v>0</v>
      </c>
      <c r="O57" s="61"/>
      <c r="P57" s="90"/>
      <c r="Q57" s="60"/>
      <c r="R57" s="61">
        <v>0</v>
      </c>
      <c r="S57" s="61">
        <v>0</v>
      </c>
      <c r="T57" s="61"/>
      <c r="U57" s="9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90"/>
      <c r="G58" s="60">
        <v>0</v>
      </c>
      <c r="H58" s="61">
        <v>0</v>
      </c>
      <c r="I58" s="61"/>
      <c r="J58" s="61"/>
      <c r="K58" s="90"/>
      <c r="L58" s="60">
        <v>0</v>
      </c>
      <c r="M58" s="61">
        <v>0</v>
      </c>
      <c r="N58" s="61"/>
      <c r="O58" s="61"/>
      <c r="P58" s="90"/>
      <c r="Q58" s="60">
        <v>0</v>
      </c>
      <c r="R58" s="61">
        <v>0</v>
      </c>
      <c r="S58" s="61"/>
      <c r="T58" s="61"/>
      <c r="U58" s="9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90"/>
      <c r="G59" s="60">
        <v>0</v>
      </c>
      <c r="H59" s="61">
        <v>0</v>
      </c>
      <c r="I59" s="61"/>
      <c r="J59" s="61"/>
      <c r="K59" s="90"/>
      <c r="L59" s="60">
        <v>0</v>
      </c>
      <c r="M59" s="61">
        <v>0</v>
      </c>
      <c r="N59" s="61"/>
      <c r="O59" s="61"/>
      <c r="P59" s="90"/>
      <c r="Q59" s="60">
        <v>0</v>
      </c>
      <c r="R59" s="61">
        <v>0</v>
      </c>
      <c r="S59" s="61"/>
      <c r="T59" s="61"/>
      <c r="U59" s="9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90"/>
      <c r="G60" s="60">
        <v>0</v>
      </c>
      <c r="H60" s="61">
        <v>0</v>
      </c>
      <c r="I60" s="61"/>
      <c r="J60" s="61"/>
      <c r="K60" s="90"/>
      <c r="L60" s="60">
        <v>0</v>
      </c>
      <c r="M60" s="61">
        <v>0</v>
      </c>
      <c r="N60" s="61"/>
      <c r="O60" s="61"/>
      <c r="P60" s="90"/>
      <c r="Q60" s="60">
        <v>0</v>
      </c>
      <c r="R60" s="61">
        <v>0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v>0</v>
      </c>
      <c r="D61" s="61">
        <v>0</v>
      </c>
      <c r="E61" s="61"/>
      <c r="F61" s="90"/>
      <c r="G61" s="60"/>
      <c r="H61" s="61">
        <v>0</v>
      </c>
      <c r="I61" s="61">
        <v>0</v>
      </c>
      <c r="J61" s="61"/>
      <c r="K61" s="90"/>
      <c r="L61" s="60"/>
      <c r="M61" s="61">
        <v>0</v>
      </c>
      <c r="N61" s="61">
        <v>0</v>
      </c>
      <c r="O61" s="61"/>
      <c r="P61" s="90"/>
      <c r="Q61" s="60"/>
      <c r="R61" s="61">
        <v>0</v>
      </c>
      <c r="S61" s="61">
        <v>0</v>
      </c>
      <c r="T61" s="61"/>
      <c r="U61" s="90"/>
    </row>
    <row r="62" spans="1:21" ht="20" customHeight="1" x14ac:dyDescent="0.15">
      <c r="A62" s="12">
        <v>21</v>
      </c>
      <c r="B62" s="63">
        <v>0</v>
      </c>
      <c r="C62" s="61">
        <v>0</v>
      </c>
      <c r="D62" s="61"/>
      <c r="E62" s="61"/>
      <c r="F62" s="90"/>
      <c r="G62" s="60">
        <v>0</v>
      </c>
      <c r="H62" s="61">
        <v>0</v>
      </c>
      <c r="I62" s="61"/>
      <c r="J62" s="61"/>
      <c r="K62" s="90"/>
      <c r="L62" s="60">
        <v>0</v>
      </c>
      <c r="M62" s="61">
        <v>0</v>
      </c>
      <c r="N62" s="61"/>
      <c r="O62" s="61"/>
      <c r="P62" s="90"/>
      <c r="Q62" s="60">
        <v>0</v>
      </c>
      <c r="R62" s="61">
        <v>0</v>
      </c>
      <c r="S62" s="61"/>
      <c r="T62" s="61"/>
      <c r="U62" s="90"/>
    </row>
    <row r="63" spans="1:21" ht="20" customHeight="1" x14ac:dyDescent="0.15">
      <c r="A63" s="12">
        <v>22</v>
      </c>
      <c r="B63" s="63">
        <v>0</v>
      </c>
      <c r="C63" s="61">
        <v>0</v>
      </c>
      <c r="D63" s="61"/>
      <c r="E63" s="61"/>
      <c r="F63" s="90"/>
      <c r="G63" s="60">
        <v>0</v>
      </c>
      <c r="H63" s="61">
        <v>0</v>
      </c>
      <c r="I63" s="61"/>
      <c r="J63" s="61"/>
      <c r="K63" s="90"/>
      <c r="L63" s="60">
        <v>0</v>
      </c>
      <c r="M63" s="61">
        <v>0</v>
      </c>
      <c r="N63" s="61"/>
      <c r="O63" s="61"/>
      <c r="P63" s="90"/>
      <c r="Q63" s="60">
        <v>0</v>
      </c>
      <c r="R63" s="61">
        <v>0</v>
      </c>
      <c r="S63" s="61"/>
      <c r="T63" s="61"/>
      <c r="U63" s="90"/>
    </row>
    <row r="64" spans="1:21" ht="20" customHeight="1" x14ac:dyDescent="0.15">
      <c r="A64" s="12">
        <v>23</v>
      </c>
      <c r="B64" s="63">
        <v>0</v>
      </c>
      <c r="C64" s="61">
        <v>0</v>
      </c>
      <c r="D64" s="61"/>
      <c r="E64" s="61"/>
      <c r="F64" s="90"/>
      <c r="G64" s="60">
        <v>0</v>
      </c>
      <c r="H64" s="61">
        <v>0</v>
      </c>
      <c r="I64" s="61"/>
      <c r="J64" s="61"/>
      <c r="K64" s="90"/>
      <c r="L64" s="60">
        <v>0</v>
      </c>
      <c r="M64" s="61">
        <v>0</v>
      </c>
      <c r="N64" s="61"/>
      <c r="O64" s="61"/>
      <c r="P64" s="90"/>
      <c r="Q64" s="60">
        <v>0</v>
      </c>
      <c r="R64" s="61">
        <v>0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v>0</v>
      </c>
      <c r="D65" s="61">
        <v>0</v>
      </c>
      <c r="E65" s="61"/>
      <c r="F65" s="90"/>
      <c r="G65" s="60"/>
      <c r="H65" s="61">
        <v>0</v>
      </c>
      <c r="I65" s="61">
        <v>0</v>
      </c>
      <c r="J65" s="61"/>
      <c r="K65" s="90"/>
      <c r="L65" s="60"/>
      <c r="M65" s="61">
        <v>0</v>
      </c>
      <c r="N65" s="61">
        <v>0</v>
      </c>
      <c r="O65" s="61"/>
      <c r="P65" s="90"/>
      <c r="Q65" s="60"/>
      <c r="R65" s="61">
        <v>0</v>
      </c>
      <c r="S65" s="61">
        <v>0</v>
      </c>
      <c r="T65" s="61"/>
      <c r="U65" s="90"/>
    </row>
    <row r="66" spans="1:21" ht="20" customHeight="1" x14ac:dyDescent="0.15">
      <c r="A66" s="12">
        <v>25</v>
      </c>
      <c r="B66" s="63">
        <v>0</v>
      </c>
      <c r="C66" s="61">
        <v>0</v>
      </c>
      <c r="D66" s="61"/>
      <c r="E66" s="61"/>
      <c r="F66" s="90"/>
      <c r="G66" s="60">
        <v>0</v>
      </c>
      <c r="H66" s="61">
        <v>0</v>
      </c>
      <c r="I66" s="61"/>
      <c r="J66" s="61"/>
      <c r="K66" s="90"/>
      <c r="L66" s="60">
        <v>0</v>
      </c>
      <c r="M66" s="61">
        <v>0</v>
      </c>
      <c r="N66" s="61"/>
      <c r="O66" s="61"/>
      <c r="P66" s="90"/>
      <c r="Q66" s="60">
        <v>0</v>
      </c>
      <c r="R66" s="61">
        <v>0</v>
      </c>
      <c r="S66" s="61"/>
      <c r="T66" s="61"/>
      <c r="U66" s="90"/>
    </row>
    <row r="67" spans="1:21" ht="20" customHeight="1" x14ac:dyDescent="0.15">
      <c r="A67" s="12">
        <v>26</v>
      </c>
      <c r="B67" s="63">
        <v>0</v>
      </c>
      <c r="C67" s="61">
        <v>0</v>
      </c>
      <c r="D67" s="61"/>
      <c r="E67" s="61"/>
      <c r="F67" s="90"/>
      <c r="G67" s="60">
        <v>0</v>
      </c>
      <c r="H67" s="61">
        <v>0</v>
      </c>
      <c r="I67" s="61"/>
      <c r="J67" s="61"/>
      <c r="K67" s="90"/>
      <c r="L67" s="60">
        <v>0</v>
      </c>
      <c r="M67" s="61">
        <v>0</v>
      </c>
      <c r="N67" s="61"/>
      <c r="O67" s="61"/>
      <c r="P67" s="90"/>
      <c r="Q67" s="60">
        <v>0</v>
      </c>
      <c r="R67" s="61">
        <v>0</v>
      </c>
      <c r="S67" s="61"/>
      <c r="T67" s="61"/>
      <c r="U67" s="90"/>
    </row>
    <row r="68" spans="1:21" ht="20.75" customHeight="1" thickBot="1" x14ac:dyDescent="0.2">
      <c r="A68" s="17">
        <v>27</v>
      </c>
      <c r="B68" s="93">
        <v>0</v>
      </c>
      <c r="C68" s="83">
        <v>0</v>
      </c>
      <c r="D68" s="83"/>
      <c r="E68" s="83"/>
      <c r="F68" s="94"/>
      <c r="G68" s="82">
        <v>0</v>
      </c>
      <c r="H68" s="83">
        <v>0</v>
      </c>
      <c r="I68" s="83"/>
      <c r="J68" s="83"/>
      <c r="K68" s="94"/>
      <c r="L68" s="82">
        <v>0</v>
      </c>
      <c r="M68" s="83">
        <v>0</v>
      </c>
      <c r="N68" s="83"/>
      <c r="O68" s="83"/>
      <c r="P68" s="94"/>
      <c r="Q68" s="82">
        <v>0</v>
      </c>
      <c r="R68" s="83">
        <v>0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v>0</v>
      </c>
      <c r="D69" s="68">
        <v>0</v>
      </c>
      <c r="E69" s="67"/>
      <c r="F69" s="86"/>
      <c r="G69" s="87"/>
      <c r="H69" s="68">
        <v>0</v>
      </c>
      <c r="I69" s="68">
        <v>0</v>
      </c>
      <c r="J69" s="67"/>
      <c r="K69" s="86"/>
      <c r="L69" s="87"/>
      <c r="M69" s="68">
        <v>0</v>
      </c>
      <c r="N69" s="68">
        <v>0</v>
      </c>
      <c r="O69" s="67"/>
      <c r="P69" s="86"/>
      <c r="Q69" s="87"/>
      <c r="R69" s="68">
        <v>0</v>
      </c>
      <c r="S69" s="68">
        <v>0</v>
      </c>
      <c r="T69" s="67"/>
      <c r="U69" s="86"/>
    </row>
    <row r="70" spans="1:21" ht="20" customHeight="1" x14ac:dyDescent="0.15">
      <c r="A70" s="12">
        <v>1</v>
      </c>
      <c r="B70" s="63">
        <v>0</v>
      </c>
      <c r="C70" s="61">
        <v>0</v>
      </c>
      <c r="D70" s="61"/>
      <c r="E70" s="62"/>
      <c r="F70" s="90"/>
      <c r="G70" s="60">
        <v>0</v>
      </c>
      <c r="H70" s="61">
        <v>0</v>
      </c>
      <c r="I70" s="61"/>
      <c r="J70" s="62"/>
      <c r="K70" s="90"/>
      <c r="L70" s="60">
        <v>0</v>
      </c>
      <c r="M70" s="61">
        <v>0</v>
      </c>
      <c r="N70" s="61"/>
      <c r="O70" s="62"/>
      <c r="P70" s="90"/>
      <c r="Q70" s="60">
        <v>0</v>
      </c>
      <c r="R70" s="61">
        <v>0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v>0</v>
      </c>
      <c r="D71" s="61">
        <v>0</v>
      </c>
      <c r="E71" s="62"/>
      <c r="F71" s="90"/>
      <c r="G71" s="60"/>
      <c r="H71" s="61">
        <v>0</v>
      </c>
      <c r="I71" s="61">
        <v>0</v>
      </c>
      <c r="J71" s="62"/>
      <c r="K71" s="90"/>
      <c r="L71" s="60"/>
      <c r="M71" s="61">
        <v>0</v>
      </c>
      <c r="N71" s="61">
        <v>0</v>
      </c>
      <c r="O71" s="62"/>
      <c r="P71" s="90"/>
      <c r="Q71" s="60"/>
      <c r="R71" s="61">
        <v>0</v>
      </c>
      <c r="S71" s="61">
        <v>0</v>
      </c>
      <c r="T71" s="62"/>
      <c r="U71" s="90"/>
    </row>
    <row r="72" spans="1:21" ht="20" customHeight="1" x14ac:dyDescent="0.15">
      <c r="A72" s="12">
        <v>3</v>
      </c>
      <c r="B72" s="63">
        <v>0</v>
      </c>
      <c r="C72" s="61">
        <v>0</v>
      </c>
      <c r="D72" s="61"/>
      <c r="E72" s="62"/>
      <c r="F72" s="90"/>
      <c r="G72" s="60">
        <v>0</v>
      </c>
      <c r="H72" s="61">
        <v>0</v>
      </c>
      <c r="I72" s="61"/>
      <c r="J72" s="62"/>
      <c r="K72" s="90"/>
      <c r="L72" s="60">
        <v>0</v>
      </c>
      <c r="M72" s="61">
        <v>0</v>
      </c>
      <c r="N72" s="61"/>
      <c r="O72" s="62"/>
      <c r="P72" s="90"/>
      <c r="Q72" s="60">
        <v>0</v>
      </c>
      <c r="R72" s="61">
        <v>0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v>0</v>
      </c>
      <c r="D73" s="61">
        <v>0</v>
      </c>
      <c r="E73" s="62"/>
      <c r="F73" s="90"/>
      <c r="G73" s="60"/>
      <c r="H73" s="61">
        <v>0</v>
      </c>
      <c r="I73" s="61">
        <v>0</v>
      </c>
      <c r="J73" s="62"/>
      <c r="K73" s="90"/>
      <c r="L73" s="60"/>
      <c r="M73" s="61">
        <v>0</v>
      </c>
      <c r="N73" s="61">
        <v>0</v>
      </c>
      <c r="O73" s="62"/>
      <c r="P73" s="90"/>
      <c r="Q73" s="60"/>
      <c r="R73" s="61">
        <v>0</v>
      </c>
      <c r="S73" s="61">
        <v>0</v>
      </c>
      <c r="T73" s="62"/>
      <c r="U73" s="90"/>
    </row>
    <row r="74" spans="1:21" ht="20" customHeight="1" x14ac:dyDescent="0.15">
      <c r="A74" s="12">
        <v>5</v>
      </c>
      <c r="B74" s="63">
        <v>0</v>
      </c>
      <c r="C74" s="61">
        <v>0</v>
      </c>
      <c r="D74" s="61"/>
      <c r="E74" s="62"/>
      <c r="F74" s="90"/>
      <c r="G74" s="60">
        <v>0</v>
      </c>
      <c r="H74" s="61">
        <v>0</v>
      </c>
      <c r="I74" s="61"/>
      <c r="J74" s="62"/>
      <c r="K74" s="90"/>
      <c r="L74" s="60">
        <v>0</v>
      </c>
      <c r="M74" s="61">
        <v>0</v>
      </c>
      <c r="N74" s="61"/>
      <c r="O74" s="62"/>
      <c r="P74" s="90"/>
      <c r="Q74" s="60">
        <v>0</v>
      </c>
      <c r="R74" s="61">
        <v>0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v>0</v>
      </c>
      <c r="D75" s="61">
        <v>0</v>
      </c>
      <c r="E75" s="62"/>
      <c r="F75" s="90"/>
      <c r="G75" s="60"/>
      <c r="H75" s="61">
        <v>0</v>
      </c>
      <c r="I75" s="61">
        <v>0</v>
      </c>
      <c r="J75" s="62"/>
      <c r="K75" s="90"/>
      <c r="L75" s="60"/>
      <c r="M75" s="61">
        <v>0</v>
      </c>
      <c r="N75" s="61">
        <v>0</v>
      </c>
      <c r="O75" s="62"/>
      <c r="P75" s="90"/>
      <c r="Q75" s="60"/>
      <c r="R75" s="61">
        <v>0</v>
      </c>
      <c r="S75" s="61">
        <v>0</v>
      </c>
      <c r="T75" s="62"/>
      <c r="U75" s="90"/>
    </row>
    <row r="76" spans="1:21" ht="20" customHeight="1" x14ac:dyDescent="0.15">
      <c r="A76" s="12">
        <v>7</v>
      </c>
      <c r="B76" s="63">
        <v>0</v>
      </c>
      <c r="C76" s="61">
        <v>0</v>
      </c>
      <c r="D76" s="61"/>
      <c r="E76" s="62"/>
      <c r="F76" s="90"/>
      <c r="G76" s="60">
        <v>0</v>
      </c>
      <c r="H76" s="61">
        <v>0</v>
      </c>
      <c r="I76" s="61"/>
      <c r="J76" s="62"/>
      <c r="K76" s="90"/>
      <c r="L76" s="60">
        <v>0</v>
      </c>
      <c r="M76" s="61">
        <v>0</v>
      </c>
      <c r="N76" s="61"/>
      <c r="O76" s="62"/>
      <c r="P76" s="90"/>
      <c r="Q76" s="60">
        <v>0</v>
      </c>
      <c r="R76" s="61">
        <v>0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v>0</v>
      </c>
      <c r="D77" s="61">
        <v>0</v>
      </c>
      <c r="E77" s="62"/>
      <c r="F77" s="90"/>
      <c r="G77" s="60"/>
      <c r="H77" s="61">
        <v>0</v>
      </c>
      <c r="I77" s="61">
        <v>0</v>
      </c>
      <c r="J77" s="62"/>
      <c r="K77" s="90"/>
      <c r="L77" s="60"/>
      <c r="M77" s="61">
        <v>0</v>
      </c>
      <c r="N77" s="61">
        <v>0</v>
      </c>
      <c r="O77" s="62"/>
      <c r="P77" s="90"/>
      <c r="Q77" s="60"/>
      <c r="R77" s="61">
        <v>0</v>
      </c>
      <c r="S77" s="61">
        <v>0</v>
      </c>
      <c r="T77" s="62"/>
      <c r="U77" s="90"/>
    </row>
    <row r="78" spans="1:21" ht="20" customHeight="1" x14ac:dyDescent="0.15">
      <c r="A78" s="12">
        <v>9</v>
      </c>
      <c r="B78" s="63">
        <v>0</v>
      </c>
      <c r="C78" s="61">
        <v>0</v>
      </c>
      <c r="D78" s="61"/>
      <c r="E78" s="62"/>
      <c r="F78" s="90"/>
      <c r="G78" s="60">
        <v>0</v>
      </c>
      <c r="H78" s="61">
        <v>0</v>
      </c>
      <c r="I78" s="61"/>
      <c r="J78" s="62"/>
      <c r="K78" s="90"/>
      <c r="L78" s="60">
        <v>0</v>
      </c>
      <c r="M78" s="61">
        <v>0</v>
      </c>
      <c r="N78" s="61"/>
      <c r="O78" s="62"/>
      <c r="P78" s="90"/>
      <c r="Q78" s="60">
        <v>0</v>
      </c>
      <c r="R78" s="61">
        <v>0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v>0</v>
      </c>
      <c r="D79" s="61">
        <v>0</v>
      </c>
      <c r="E79" s="62"/>
      <c r="F79" s="90"/>
      <c r="G79" s="60"/>
      <c r="H79" s="61">
        <v>0</v>
      </c>
      <c r="I79" s="61">
        <v>0</v>
      </c>
      <c r="J79" s="62"/>
      <c r="K79" s="90"/>
      <c r="L79" s="60"/>
      <c r="M79" s="61">
        <v>0</v>
      </c>
      <c r="N79" s="61">
        <v>0</v>
      </c>
      <c r="O79" s="62"/>
      <c r="P79" s="90"/>
      <c r="Q79" s="60"/>
      <c r="R79" s="61">
        <v>0</v>
      </c>
      <c r="S79" s="61">
        <v>0</v>
      </c>
      <c r="T79" s="62"/>
      <c r="U79" s="90"/>
    </row>
    <row r="80" spans="1:21" ht="20" customHeight="1" x14ac:dyDescent="0.15">
      <c r="A80" s="12">
        <v>11</v>
      </c>
      <c r="B80" s="63">
        <v>0</v>
      </c>
      <c r="C80" s="61">
        <v>0</v>
      </c>
      <c r="D80" s="61"/>
      <c r="E80" s="62"/>
      <c r="F80" s="90"/>
      <c r="G80" s="60">
        <v>0</v>
      </c>
      <c r="H80" s="61">
        <v>0</v>
      </c>
      <c r="I80" s="61"/>
      <c r="J80" s="62"/>
      <c r="K80" s="90"/>
      <c r="L80" s="60">
        <v>0</v>
      </c>
      <c r="M80" s="61">
        <v>0</v>
      </c>
      <c r="N80" s="61"/>
      <c r="O80" s="62"/>
      <c r="P80" s="90"/>
      <c r="Q80" s="60">
        <v>0</v>
      </c>
      <c r="R80" s="61">
        <v>0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v>0</v>
      </c>
      <c r="D81" s="61">
        <v>0</v>
      </c>
      <c r="E81" s="62"/>
      <c r="F81" s="90"/>
      <c r="G81" s="60"/>
      <c r="H81" s="61">
        <v>0</v>
      </c>
      <c r="I81" s="61">
        <v>0</v>
      </c>
      <c r="J81" s="62"/>
      <c r="K81" s="90"/>
      <c r="L81" s="60"/>
      <c r="M81" s="61">
        <f>-4950</f>
        <v>-4950</v>
      </c>
      <c r="N81" s="61">
        <f>4950</f>
        <v>4950</v>
      </c>
      <c r="O81" s="62"/>
      <c r="P81" s="90"/>
      <c r="Q81" s="60"/>
      <c r="R81" s="61">
        <v>0</v>
      </c>
      <c r="S81" s="61">
        <v>0</v>
      </c>
      <c r="T81" s="62"/>
      <c r="U81" s="90"/>
    </row>
    <row r="82" spans="1:21" ht="20" customHeight="1" x14ac:dyDescent="0.15">
      <c r="A82" s="12">
        <v>13</v>
      </c>
      <c r="B82" s="63">
        <v>0</v>
      </c>
      <c r="C82" s="61">
        <v>0</v>
      </c>
      <c r="D82" s="61"/>
      <c r="E82" s="62"/>
      <c r="F82" s="90"/>
      <c r="G82" s="60">
        <v>0</v>
      </c>
      <c r="H82" s="61">
        <v>0</v>
      </c>
      <c r="I82" s="61"/>
      <c r="J82" s="62"/>
      <c r="K82" s="90"/>
      <c r="L82" s="60">
        <v>0</v>
      </c>
      <c r="M82" s="61">
        <v>0</v>
      </c>
      <c r="N82" s="61"/>
      <c r="O82" s="62"/>
      <c r="P82" s="90"/>
      <c r="Q82" s="60">
        <v>0</v>
      </c>
      <c r="R82" s="61">
        <v>0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v>0</v>
      </c>
      <c r="D83" s="61">
        <v>0</v>
      </c>
      <c r="E83" s="62"/>
      <c r="F83" s="90"/>
      <c r="G83" s="60"/>
      <c r="H83" s="61">
        <v>0</v>
      </c>
      <c r="I83" s="61">
        <v>0</v>
      </c>
      <c r="J83" s="62"/>
      <c r="K83" s="90"/>
      <c r="L83" s="60"/>
      <c r="M83" s="61">
        <v>0</v>
      </c>
      <c r="N83" s="61">
        <v>0</v>
      </c>
      <c r="O83" s="62"/>
      <c r="P83" s="90"/>
      <c r="Q83" s="60"/>
      <c r="R83" s="61">
        <v>0</v>
      </c>
      <c r="S83" s="61">
        <v>0</v>
      </c>
      <c r="T83" s="62"/>
      <c r="U83" s="90"/>
    </row>
    <row r="84" spans="1:21" ht="20" customHeight="1" x14ac:dyDescent="0.15">
      <c r="A84" s="12">
        <v>15</v>
      </c>
      <c r="B84" s="63">
        <v>0</v>
      </c>
      <c r="C84" s="61">
        <v>0</v>
      </c>
      <c r="D84" s="61"/>
      <c r="E84" s="62"/>
      <c r="F84" s="90"/>
      <c r="G84" s="60">
        <v>0</v>
      </c>
      <c r="H84" s="61">
        <v>0</v>
      </c>
      <c r="I84" s="61"/>
      <c r="J84" s="62"/>
      <c r="K84" s="90"/>
      <c r="L84" s="60">
        <v>0</v>
      </c>
      <c r="M84" s="61">
        <v>0</v>
      </c>
      <c r="N84" s="61"/>
      <c r="O84" s="62"/>
      <c r="P84" s="90"/>
      <c r="Q84" s="60">
        <v>0</v>
      </c>
      <c r="R84" s="61">
        <v>0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v>0</v>
      </c>
      <c r="D85" s="61">
        <v>0</v>
      </c>
      <c r="E85" s="62"/>
      <c r="F85" s="90"/>
      <c r="G85" s="60"/>
      <c r="H85" s="61">
        <v>0</v>
      </c>
      <c r="I85" s="61">
        <v>0</v>
      </c>
      <c r="J85" s="62"/>
      <c r="K85" s="90"/>
      <c r="L85" s="60"/>
      <c r="M85" s="61">
        <v>0</v>
      </c>
      <c r="N85" s="61">
        <v>0</v>
      </c>
      <c r="O85" s="62"/>
      <c r="P85" s="90"/>
      <c r="Q85" s="60"/>
      <c r="R85" s="61">
        <v>0</v>
      </c>
      <c r="S85" s="61">
        <v>0</v>
      </c>
      <c r="T85" s="62"/>
      <c r="U85" s="9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90"/>
      <c r="G86" s="60">
        <v>0</v>
      </c>
      <c r="H86" s="61">
        <v>0</v>
      </c>
      <c r="I86" s="61"/>
      <c r="J86" s="62"/>
      <c r="K86" s="90"/>
      <c r="L86" s="60">
        <v>0</v>
      </c>
      <c r="M86" s="61">
        <v>0</v>
      </c>
      <c r="N86" s="61"/>
      <c r="O86" s="62"/>
      <c r="P86" s="90"/>
      <c r="Q86" s="60">
        <v>0</v>
      </c>
      <c r="R86" s="61">
        <v>0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90"/>
      <c r="G87" s="60"/>
      <c r="H87" s="61">
        <v>0</v>
      </c>
      <c r="I87" s="61">
        <v>0</v>
      </c>
      <c r="J87" s="62"/>
      <c r="K87" s="90"/>
      <c r="L87" s="60"/>
      <c r="M87" s="61">
        <v>0</v>
      </c>
      <c r="N87" s="61">
        <v>0</v>
      </c>
      <c r="O87" s="62"/>
      <c r="P87" s="90"/>
      <c r="Q87" s="60"/>
      <c r="R87" s="61">
        <v>0</v>
      </c>
      <c r="S87" s="61">
        <v>0</v>
      </c>
      <c r="T87" s="62"/>
      <c r="U87" s="9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90"/>
      <c r="G88" s="60">
        <v>0</v>
      </c>
      <c r="H88" s="61">
        <v>0</v>
      </c>
      <c r="I88" s="61"/>
      <c r="J88" s="62"/>
      <c r="K88" s="90"/>
      <c r="L88" s="60">
        <v>0</v>
      </c>
      <c r="M88" s="61">
        <v>0</v>
      </c>
      <c r="N88" s="61"/>
      <c r="O88" s="62"/>
      <c r="P88" s="90"/>
      <c r="Q88" s="60">
        <v>0</v>
      </c>
      <c r="R88" s="61">
        <v>0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90"/>
      <c r="G89" s="60"/>
      <c r="H89" s="61">
        <v>0</v>
      </c>
      <c r="I89" s="61">
        <v>0</v>
      </c>
      <c r="J89" s="62"/>
      <c r="K89" s="90"/>
      <c r="L89" s="60"/>
      <c r="M89" s="61">
        <v>0</v>
      </c>
      <c r="N89" s="61">
        <v>0</v>
      </c>
      <c r="O89" s="62"/>
      <c r="P89" s="90"/>
      <c r="Q89" s="60"/>
      <c r="R89" s="61">
        <v>0</v>
      </c>
      <c r="S89" s="61">
        <v>0</v>
      </c>
      <c r="T89" s="62"/>
      <c r="U89" s="9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90"/>
      <c r="G90" s="60">
        <v>0</v>
      </c>
      <c r="H90" s="61">
        <v>0</v>
      </c>
      <c r="I90" s="61"/>
      <c r="J90" s="62"/>
      <c r="K90" s="90"/>
      <c r="L90" s="60">
        <v>0</v>
      </c>
      <c r="M90" s="61">
        <v>0</v>
      </c>
      <c r="N90" s="61"/>
      <c r="O90" s="62"/>
      <c r="P90" s="90"/>
      <c r="Q90" s="60">
        <v>0</v>
      </c>
      <c r="R90" s="61">
        <v>0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90"/>
      <c r="G91" s="60"/>
      <c r="H91" s="61">
        <v>0</v>
      </c>
      <c r="I91" s="61">
        <v>0</v>
      </c>
      <c r="J91" s="62"/>
      <c r="K91" s="90"/>
      <c r="L91" s="60"/>
      <c r="M91" s="61">
        <v>0</v>
      </c>
      <c r="N91" s="61">
        <v>0</v>
      </c>
      <c r="O91" s="62"/>
      <c r="P91" s="90"/>
      <c r="Q91" s="60"/>
      <c r="R91" s="61">
        <v>0</v>
      </c>
      <c r="S91" s="61">
        <v>0</v>
      </c>
      <c r="T91" s="62"/>
      <c r="U91" s="9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90"/>
      <c r="G92" s="60">
        <v>0</v>
      </c>
      <c r="H92" s="61">
        <v>0</v>
      </c>
      <c r="I92" s="61"/>
      <c r="J92" s="62"/>
      <c r="K92" s="90"/>
      <c r="L92" s="60">
        <v>0</v>
      </c>
      <c r="M92" s="61">
        <v>0</v>
      </c>
      <c r="N92" s="61"/>
      <c r="O92" s="62"/>
      <c r="P92" s="90"/>
      <c r="Q92" s="60">
        <v>0</v>
      </c>
      <c r="R92" s="61">
        <v>0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90"/>
      <c r="G93" s="60"/>
      <c r="H93" s="61">
        <v>0</v>
      </c>
      <c r="I93" s="61">
        <v>0</v>
      </c>
      <c r="J93" s="62"/>
      <c r="K93" s="90"/>
      <c r="L93" s="60"/>
      <c r="M93" s="61">
        <v>0</v>
      </c>
      <c r="N93" s="61">
        <v>0</v>
      </c>
      <c r="O93" s="62"/>
      <c r="P93" s="90"/>
      <c r="Q93" s="60"/>
      <c r="R93" s="61">
        <v>0</v>
      </c>
      <c r="S93" s="61">
        <v>0</v>
      </c>
      <c r="T93" s="62"/>
      <c r="U93" s="9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90"/>
      <c r="G94" s="60">
        <v>0</v>
      </c>
      <c r="H94" s="61">
        <v>0</v>
      </c>
      <c r="I94" s="61"/>
      <c r="J94" s="62"/>
      <c r="K94" s="90"/>
      <c r="L94" s="60">
        <v>0</v>
      </c>
      <c r="M94" s="61">
        <v>0</v>
      </c>
      <c r="N94" s="61"/>
      <c r="O94" s="62"/>
      <c r="P94" s="90"/>
      <c r="Q94" s="60">
        <v>0</v>
      </c>
      <c r="R94" s="61">
        <v>0</v>
      </c>
      <c r="S94" s="61"/>
      <c r="T94" s="62"/>
      <c r="U94" s="9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90"/>
      <c r="G95" s="60">
        <v>0</v>
      </c>
      <c r="H95" s="61">
        <v>0</v>
      </c>
      <c r="I95" s="61"/>
      <c r="J95" s="62"/>
      <c r="K95" s="90"/>
      <c r="L95" s="60">
        <v>0</v>
      </c>
      <c r="M95" s="61">
        <v>0</v>
      </c>
      <c r="N95" s="61"/>
      <c r="O95" s="62"/>
      <c r="P95" s="90"/>
      <c r="Q95" s="60">
        <v>0</v>
      </c>
      <c r="R95" s="61">
        <v>0</v>
      </c>
      <c r="S95" s="61"/>
      <c r="T95" s="62"/>
      <c r="U95" s="9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90"/>
      <c r="G96" s="60">
        <v>0</v>
      </c>
      <c r="H96" s="61">
        <v>0</v>
      </c>
      <c r="I96" s="61"/>
      <c r="J96" s="62"/>
      <c r="K96" s="90"/>
      <c r="L96" s="60">
        <v>0</v>
      </c>
      <c r="M96" s="61">
        <v>0</v>
      </c>
      <c r="N96" s="61"/>
      <c r="O96" s="62"/>
      <c r="P96" s="90"/>
      <c r="Q96" s="60">
        <v>0</v>
      </c>
      <c r="R96" s="61">
        <v>0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v>0</v>
      </c>
      <c r="D97" s="61">
        <v>0</v>
      </c>
      <c r="E97" s="62"/>
      <c r="F97" s="90"/>
      <c r="G97" s="60"/>
      <c r="H97" s="61">
        <v>0</v>
      </c>
      <c r="I97" s="61">
        <v>0</v>
      </c>
      <c r="J97" s="62"/>
      <c r="K97" s="90"/>
      <c r="L97" s="60"/>
      <c r="M97" s="61">
        <v>0</v>
      </c>
      <c r="N97" s="61">
        <v>0</v>
      </c>
      <c r="O97" s="62"/>
      <c r="P97" s="90"/>
      <c r="Q97" s="60"/>
      <c r="R97" s="61">
        <v>0</v>
      </c>
      <c r="S97" s="61">
        <v>0</v>
      </c>
      <c r="T97" s="62"/>
      <c r="U97" s="90"/>
    </row>
    <row r="98" spans="1:21" ht="20" customHeight="1" x14ac:dyDescent="0.15">
      <c r="A98" s="12">
        <v>29</v>
      </c>
      <c r="B98" s="63">
        <v>0</v>
      </c>
      <c r="C98" s="61">
        <v>0</v>
      </c>
      <c r="D98" s="61"/>
      <c r="E98" s="62"/>
      <c r="F98" s="90"/>
      <c r="G98" s="60">
        <v>0</v>
      </c>
      <c r="H98" s="61">
        <v>0</v>
      </c>
      <c r="I98" s="61"/>
      <c r="J98" s="62"/>
      <c r="K98" s="90"/>
      <c r="L98" s="60">
        <v>0</v>
      </c>
      <c r="M98" s="61">
        <v>0</v>
      </c>
      <c r="N98" s="61"/>
      <c r="O98" s="62"/>
      <c r="P98" s="90"/>
      <c r="Q98" s="60">
        <v>0</v>
      </c>
      <c r="R98" s="61">
        <v>0</v>
      </c>
      <c r="S98" s="61"/>
      <c r="T98" s="62"/>
      <c r="U98" s="90"/>
    </row>
    <row r="99" spans="1:21" ht="20" customHeight="1" x14ac:dyDescent="0.15">
      <c r="A99" s="12">
        <v>30</v>
      </c>
      <c r="B99" s="63">
        <v>0</v>
      </c>
      <c r="C99" s="61">
        <v>0</v>
      </c>
      <c r="D99" s="61"/>
      <c r="E99" s="62"/>
      <c r="F99" s="90"/>
      <c r="G99" s="60">
        <v>0</v>
      </c>
      <c r="H99" s="61">
        <v>0</v>
      </c>
      <c r="I99" s="61"/>
      <c r="J99" s="62"/>
      <c r="K99" s="90"/>
      <c r="L99" s="60">
        <v>0</v>
      </c>
      <c r="M99" s="61">
        <v>0</v>
      </c>
      <c r="N99" s="61"/>
      <c r="O99" s="62"/>
      <c r="P99" s="90"/>
      <c r="Q99" s="60">
        <v>0</v>
      </c>
      <c r="R99" s="61">
        <v>0</v>
      </c>
      <c r="S99" s="61"/>
      <c r="T99" s="62"/>
      <c r="U99" s="90"/>
    </row>
    <row r="100" spans="1:21" ht="20" customHeight="1" x14ac:dyDescent="0.15">
      <c r="A100" s="12">
        <v>31</v>
      </c>
      <c r="B100" s="63">
        <v>0</v>
      </c>
      <c r="C100" s="61">
        <v>0</v>
      </c>
      <c r="D100" s="61"/>
      <c r="E100" s="62"/>
      <c r="F100" s="90"/>
      <c r="G100" s="60">
        <v>0</v>
      </c>
      <c r="H100" s="61">
        <v>0</v>
      </c>
      <c r="I100" s="61"/>
      <c r="J100" s="62"/>
      <c r="K100" s="90"/>
      <c r="L100" s="60">
        <v>0</v>
      </c>
      <c r="M100" s="61">
        <v>0</v>
      </c>
      <c r="N100" s="61"/>
      <c r="O100" s="62"/>
      <c r="P100" s="90"/>
      <c r="Q100" s="60">
        <v>0</v>
      </c>
      <c r="R100" s="61">
        <v>0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v>0</v>
      </c>
      <c r="D101" s="61">
        <v>0</v>
      </c>
      <c r="E101" s="62"/>
      <c r="F101" s="90"/>
      <c r="G101" s="60"/>
      <c r="H101" s="61">
        <v>0</v>
      </c>
      <c r="I101" s="61">
        <v>0</v>
      </c>
      <c r="J101" s="62"/>
      <c r="K101" s="90"/>
      <c r="L101" s="60"/>
      <c r="M101" s="61">
        <v>0</v>
      </c>
      <c r="N101" s="61">
        <v>0</v>
      </c>
      <c r="O101" s="62"/>
      <c r="P101" s="90"/>
      <c r="Q101" s="60"/>
      <c r="R101" s="61">
        <v>0</v>
      </c>
      <c r="S101" s="61">
        <v>0</v>
      </c>
      <c r="T101" s="62"/>
      <c r="U101" s="90"/>
    </row>
    <row r="102" spans="1:21" ht="20" customHeight="1" x14ac:dyDescent="0.15">
      <c r="A102" s="12">
        <v>33</v>
      </c>
      <c r="B102" s="63">
        <v>0</v>
      </c>
      <c r="C102" s="61">
        <v>0</v>
      </c>
      <c r="D102" s="61"/>
      <c r="E102" s="62"/>
      <c r="F102" s="90"/>
      <c r="G102" s="60">
        <v>0</v>
      </c>
      <c r="H102" s="61">
        <v>0</v>
      </c>
      <c r="I102" s="61"/>
      <c r="J102" s="62"/>
      <c r="K102" s="90"/>
      <c r="L102" s="60">
        <v>0</v>
      </c>
      <c r="M102" s="61">
        <v>0</v>
      </c>
      <c r="N102" s="61"/>
      <c r="O102" s="62"/>
      <c r="P102" s="90"/>
      <c r="Q102" s="60">
        <v>0</v>
      </c>
      <c r="R102" s="61">
        <v>0</v>
      </c>
      <c r="S102" s="61"/>
      <c r="T102" s="62"/>
      <c r="U102" s="90"/>
    </row>
    <row r="103" spans="1:21" ht="20" customHeight="1" x14ac:dyDescent="0.15">
      <c r="A103" s="12">
        <v>34</v>
      </c>
      <c r="B103" s="63">
        <v>0</v>
      </c>
      <c r="C103" s="61">
        <v>0</v>
      </c>
      <c r="D103" s="61"/>
      <c r="E103" s="62"/>
      <c r="F103" s="90"/>
      <c r="G103" s="60">
        <v>0</v>
      </c>
      <c r="H103" s="61">
        <v>0</v>
      </c>
      <c r="I103" s="61"/>
      <c r="J103" s="62"/>
      <c r="K103" s="90"/>
      <c r="L103" s="60">
        <v>0</v>
      </c>
      <c r="M103" s="61">
        <v>0</v>
      </c>
      <c r="N103" s="61"/>
      <c r="O103" s="62"/>
      <c r="P103" s="90"/>
      <c r="Q103" s="60">
        <v>0</v>
      </c>
      <c r="R103" s="61">
        <v>0</v>
      </c>
      <c r="S103" s="61"/>
      <c r="T103" s="62"/>
      <c r="U103" s="90"/>
    </row>
    <row r="104" spans="1:21" ht="20" customHeight="1" x14ac:dyDescent="0.15">
      <c r="A104" s="12">
        <v>35</v>
      </c>
      <c r="B104" s="63">
        <v>0</v>
      </c>
      <c r="C104" s="61">
        <v>0</v>
      </c>
      <c r="D104" s="61"/>
      <c r="E104" s="62"/>
      <c r="F104" s="90"/>
      <c r="G104" s="60">
        <v>0</v>
      </c>
      <c r="H104" s="61">
        <v>0</v>
      </c>
      <c r="I104" s="61"/>
      <c r="J104" s="62"/>
      <c r="K104" s="90"/>
      <c r="L104" s="60">
        <v>0</v>
      </c>
      <c r="M104" s="61">
        <v>0</v>
      </c>
      <c r="N104" s="61"/>
      <c r="O104" s="62"/>
      <c r="P104" s="90"/>
      <c r="Q104" s="60">
        <v>0</v>
      </c>
      <c r="R104" s="61">
        <v>0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G4" sqref="G4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102">
        <v>1</v>
      </c>
      <c r="H1" s="97"/>
      <c r="I1" s="97"/>
      <c r="J1" s="97"/>
      <c r="K1" s="98"/>
      <c r="L1" s="102">
        <v>2</v>
      </c>
      <c r="M1" s="97"/>
      <c r="N1" s="97"/>
      <c r="O1" s="97"/>
      <c r="P1" s="98"/>
      <c r="Q1" s="102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f>6633</f>
        <v>6633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-10000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K4" sqref="K4:M21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20" customHeight="1" x14ac:dyDescent="0.15">
      <c r="A2" s="71"/>
      <c r="B2" s="96">
        <v>0</v>
      </c>
      <c r="C2" s="97"/>
      <c r="D2" s="104"/>
      <c r="E2" s="105">
        <v>1</v>
      </c>
      <c r="F2" s="97"/>
      <c r="G2" s="104"/>
      <c r="H2" s="105">
        <v>2</v>
      </c>
      <c r="I2" s="97"/>
      <c r="J2" s="104"/>
      <c r="K2" s="105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70">
        <v>0</v>
      </c>
      <c r="I4" s="58">
        <v>0</v>
      </c>
      <c r="J4" s="72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69">
        <v>0</v>
      </c>
      <c r="I5" s="62">
        <v>0</v>
      </c>
      <c r="J5" s="73">
        <v>0</v>
      </c>
      <c r="K5" s="77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69">
        <v>1</v>
      </c>
      <c r="I6" s="62">
        <v>0</v>
      </c>
      <c r="J6" s="73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69"/>
      <c r="I7" s="62">
        <v>1</v>
      </c>
      <c r="J7" s="73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69">
        <v>0</v>
      </c>
      <c r="I8" s="62">
        <v>0</v>
      </c>
      <c r="J8" s="73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69">
        <v>0</v>
      </c>
      <c r="I9" s="62">
        <v>0</v>
      </c>
      <c r="J9" s="73"/>
      <c r="K9" s="16">
        <v>0</v>
      </c>
      <c r="L9" s="78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69">
        <v>0</v>
      </c>
      <c r="I10" s="62">
        <v>1</v>
      </c>
      <c r="J10" s="73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69">
        <v>1</v>
      </c>
      <c r="I11" s="62">
        <v>0</v>
      </c>
      <c r="J11" s="73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69">
        <v>0</v>
      </c>
      <c r="I12" s="62">
        <v>0</v>
      </c>
      <c r="J12" s="73">
        <v>0</v>
      </c>
      <c r="K12" s="16">
        <v>0</v>
      </c>
      <c r="L12" s="14">
        <v>0</v>
      </c>
      <c r="M12" s="78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69"/>
      <c r="I13" s="62">
        <v>1</v>
      </c>
      <c r="J13" s="73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69">
        <v>0</v>
      </c>
      <c r="I14" s="62">
        <v>0</v>
      </c>
      <c r="J14" s="73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69">
        <v>1</v>
      </c>
      <c r="I15" s="62">
        <v>0</v>
      </c>
      <c r="J15" s="73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69">
        <v>0</v>
      </c>
      <c r="I16" s="62">
        <v>0</v>
      </c>
      <c r="J16" s="73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69">
        <v>0</v>
      </c>
      <c r="I17" s="62">
        <v>0</v>
      </c>
      <c r="J17" s="73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69"/>
      <c r="I18" s="62">
        <v>0</v>
      </c>
      <c r="J18" s="73">
        <v>1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69">
        <v>0</v>
      </c>
      <c r="I19" s="62">
        <v>0</v>
      </c>
      <c r="J19" s="73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69">
        <v>0</v>
      </c>
      <c r="I20" s="62">
        <v>0</v>
      </c>
      <c r="J20" s="73"/>
      <c r="K20" s="77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79">
        <v>1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</row>
    <row r="2" spans="1:13" ht="20" customHeight="1" x14ac:dyDescent="0.15">
      <c r="A2" s="3"/>
      <c r="B2" s="96">
        <v>0</v>
      </c>
      <c r="C2" s="97"/>
      <c r="D2" s="104"/>
      <c r="E2" s="105">
        <v>1</v>
      </c>
      <c r="F2" s="97"/>
      <c r="G2" s="104"/>
      <c r="H2" s="105">
        <v>2</v>
      </c>
      <c r="I2" s="97"/>
      <c r="J2" s="104"/>
      <c r="K2" s="105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3" activePane="bottomRight" state="frozen"/>
      <selection pane="topRight"/>
      <selection pane="bottomLeft"/>
      <selection pane="bottomRight" activeCell="B6" sqref="B6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sheetProtection sheet="1" objects="1" scenarios="1"/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regrets 6 probs</vt:lpstr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2021-10-28T23:16:43Z</dcterms:modified>
</cp:coreProperties>
</file>